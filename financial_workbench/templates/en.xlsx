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5928d8c43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5365d5453944561"/>
    <x:sheet xmlns:r="http://schemas.openxmlformats.org/officeDocument/2006/relationships" name="Setup" sheetId="2" r:id="R7fc5bcfe938b40b6"/>
    <x:sheet xmlns:r="http://schemas.openxmlformats.org/officeDocument/2006/relationships" name="Profitability" sheetId="3" r:id="R23799e54ac56406d"/>
    <x:sheet xmlns:r="http://schemas.openxmlformats.org/officeDocument/2006/relationships" name="Liquidity" sheetId="4" r:id="R0cd794a9cb5f4e12"/>
    <x:sheet xmlns:r="http://schemas.openxmlformats.org/officeDocument/2006/relationships" name="Efficiency" sheetId="5" r:id="R0d15df099bec464c"/>
    <x:sheet xmlns:r="http://schemas.openxmlformats.org/officeDocument/2006/relationships" name="Debt and Solvency" sheetId="6" r:id="Rd95fa810fd1f4f5e"/>
    <x:sheet xmlns:r="http://schemas.openxmlformats.org/officeDocument/2006/relationships" name="Cash Flow Quality" sheetId="7" r:id="R2a1b1d1d7f1b43bb"/>
    <x:sheet xmlns:r="http://schemas.openxmlformats.org/officeDocument/2006/relationships" name="Growth and Trends" sheetId="8" r:id="R8ab93bc1f18e48fc"/>
    <x:sheet xmlns:r="http://schemas.openxmlformats.org/officeDocument/2006/relationships" name="Share Valuation" sheetId="9" r:id="R25f822ef829b43cc"/>
    <x:sheet xmlns:r="http://schemas.openxmlformats.org/officeDocument/2006/relationships" name="DuPont" sheetId="10" r:id="R86388e78680b424e"/>
    <x:sheet xmlns:r="http://schemas.openxmlformats.org/officeDocument/2006/relationships" name="Common Size" sheetId="11" r:id="Rf70448ce98504a56"/>
    <x:sheet xmlns:r="http://schemas.openxmlformats.org/officeDocument/2006/relationships" name="Capital Calculations" sheetId="12" r:id="Rba4a91593a364a84"/>
    <x:sheet xmlns:r="http://schemas.openxmlformats.org/officeDocument/2006/relationships" name="Peer Comparison" sheetId="13" r:id="R6739aca807d14ef5"/>
    <x:sheet xmlns:r="http://schemas.openxmlformats.org/officeDocument/2006/relationships" name="Investment Returns" sheetId="14" r:id="R3eae7bf15837426b"/>
    <x:sheet xmlns:r="http://schemas.openxmlformats.org/officeDocument/2006/relationships" name="ETF Comparison" sheetId="15" r:id="Rcce45f246a194e43"/>
    <x:sheet xmlns:r="http://schemas.openxmlformats.org/officeDocument/2006/relationships" name="Industry Metrics" sheetId="16" r:id="R9869407c5c914ef3"/>
    <x:sheet xmlns:r="http://schemas.openxmlformats.org/officeDocument/2006/relationships" name="Inputs &gt;&gt;" sheetId="17" r:id="R1203e9be1cb248c2"/>
    <x:sheet xmlns:r="http://schemas.openxmlformats.org/officeDocument/2006/relationships" name="Balance Sheet" sheetId="18" r:id="Rcb273e69614349b3"/>
    <x:sheet xmlns:r="http://schemas.openxmlformats.org/officeDocument/2006/relationships" name="Income Statement" sheetId="19" r:id="R15c623ed268f4ea1"/>
    <x:sheet xmlns:r="http://schemas.openxmlformats.org/officeDocument/2006/relationships" name="Cash Flow Statement" sheetId="20" r:id="Ra10d5b6a269847fe"/>
    <x:sheet xmlns:r="http://schemas.openxmlformats.org/officeDocument/2006/relationships" name="Changes in Equity" sheetId="21" r:id="R99d70f0c2ddb439e"/>
    <x:sheet xmlns:r="http://schemas.openxmlformats.org/officeDocument/2006/relationships" name="Market Inputs" sheetId="22" r:id="R86de45a878ec42aa"/>
    <x:sheet xmlns:r="http://schemas.openxmlformats.org/officeDocument/2006/relationships" name="Checks" sheetId="23" r:id="R05e8af4736344534"/>
    <x:sheet xmlns:r="http://schemas.openxmlformats.org/officeDocument/2006/relationships" name="Guide and Source Review" sheetId="24" r:id="R4906aa9214ee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#,##0.0;(#,##0.0);&quot;–&quot;"/>
    <x:numFmt numFmtId="202" formatCode="0.0%;(0.0%);&quot;–&quot;"/>
    <x:numFmt numFmtId="203" formatCode="0.00&quot;x&quot;;(0.00&quot;x&quot;);&quot;–&quot;"/>
    <x:numFmt numFmtId="204" formatCode="0.00;(0.00);&quot;–&quot;"/>
    <x:numFmt numFmtId="205" formatCode="0.00"/>
    <x:numFmt numFmtId="206" formatCode="0.00;(0.00);0.00"/>
    <x:numFmt numFmtId="207" formatCode="#,##0"/>
  </x:numFmts>
  <x:fonts count="17">
    <x:font>
      <x:sz val="11"/>
      <x:name val="Carlito"/>
    </x:font>
    <x:font>
      <x:sz val="10"/>
      <x:color rgb="FF172B4D"/>
      <x:name val="Arial"/>
    </x:font>
    <x:font>
      <x:b/>
      <x:sz val="16"/>
      <x:color rgb="FF17365D"/>
      <x:name val="Arial"/>
    </x:font>
    <x:font>
      <x:i/>
      <x:sz val="10"/>
      <x:color rgb="FF566573"/>
      <x:name val="Arial"/>
    </x:font>
    <x:font>
      <x:b/>
      <x:sz val="10"/>
      <x:color rgb="FFFFFFFF"/>
      <x:name val="Arial"/>
    </x:font>
    <x:font>
      <x:i/>
      <x:sz val="9"/>
      <x:color rgb="FF64748B"/>
      <x:name val="Arial"/>
    </x:font>
    <x:font>
      <x:i/>
      <x:sz val="10"/>
      <x:color rgb="FF172B4D"/>
      <x:name val="Arial"/>
    </x:font>
    <x:font>
      <x:b/>
      <x:sz val="10"/>
      <x:color rgb="FF17365D"/>
      <x:name val="Arial"/>
    </x:font>
    <x:font>
      <x:i/>
      <x:sz val="10"/>
      <x:color rgb="FF008000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172B4D"/>
      <x:name val="Arial"/>
    </x:font>
    <x:font>
      <x:b/>
      <x:sz val="10"/>
      <x:color rgb="FF0000FF"/>
      <x:name val="Arial"/>
    </x:font>
    <x:font>
      <x:sz val="11"/>
      <x:color rgb="FF0000FF"/>
      <x:name val="Carlito"/>
    </x:font>
    <x:font>
      <x:i/>
      <x:sz val="10"/>
      <x:color rgb="FF0000FF"/>
      <x:name val="Arial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7EDF5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17365D"/>
      </x:bottom>
    </x:border>
    <x:border>
      <x:top style="thin">
        <x:color rgb="FFBAC8D8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  <x:xf numFmtId="202" fontId="6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6" fillId="0" borderId="0" xfId="0" applyNumberFormat="1" applyFont="1" applyFill="1" applyBorder="1" applyAlignment="1">
      <x:alignment horizontal="right" vertical="center"/>
    </x:xf>
    <x:xf numFmtId="203" fontId="6" fillId="3" borderId="0" xfId="0" applyNumberFormat="1" applyFont="1" applyFill="1" applyBorder="1" applyAlignment="1">
      <x:alignment horizontal="right" vertical="center"/>
    </x:xf>
    <x:xf numFmtId="203" fontId="6" fillId="4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2" fontId="8" fillId="4" borderId="0" xfId="0" applyNumberFormat="1" applyFont="1" applyFill="1" applyBorder="1" applyAlignment="1">
      <x:alignment horizontal="right" vertical="center"/>
    </x:xf>
    <x:xf numFmtId="202" fontId="8" fillId="3" borderId="0" xfId="0" applyNumberFormat="1" applyFont="1" applyFill="1" applyBorder="1" applyAlignment="1">
      <x:alignment horizontal="right"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9" fillId="4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3" fontId="8" fillId="3" borderId="0" xfId="0" applyNumberFormat="1" applyFont="1" applyFill="1" applyBorder="1" applyAlignment="1">
      <x:alignment horizontal="right" vertical="center"/>
    </x:xf>
    <x:xf numFmtId="203" fontId="8" fillId="4" borderId="0" xfId="0" applyNumberFormat="1" applyFont="1" applyFill="1" applyBorder="1" applyAlignment="1">
      <x:alignment horizontal="right" vertical="center"/>
    </x:xf>
    <x:xf numFmtId="201" fontId="9" fillId="3" borderId="0" xfId="0" applyNumberFormat="1" applyFont="1" applyFill="1" applyBorder="1" applyAlignment="1">
      <x:alignment horizontal="right" vertical="center"/>
    </x:xf>
    <x:xf numFmtId="204" fontId="9" fillId="0" borderId="0" xfId="0" applyNumberFormat="1" applyFont="1" applyFill="1" applyBorder="1" applyAlignment="1">
      <x:alignment horizontal="right" vertical="center"/>
    </x:xf>
    <x:xf numFmtId="204" fontId="9" fillId="4" borderId="0" xfId="0" applyNumberFormat="1" applyFont="1" applyFill="1" applyBorder="1" applyAlignment="1">
      <x:alignment horizontal="right" vertical="center"/>
    </x:xf>
    <x:xf numFmtId="204" fontId="9" fillId="3" borderId="0" xfId="0" applyNumberFormat="1" applyFont="1" applyFill="1" applyBorder="1" applyAlignment="1">
      <x:alignment horizontal="right" vertical="center"/>
    </x:xf>
    <x:xf numFmtId="201" fontId="1" fillId="6" borderId="0" xfId="0" applyNumberFormat="1" applyFont="1" applyFill="1" applyBorder="1" applyAlignment="1">
      <x:alignment horizontal="right" vertical="center"/>
    </x:xf>
    <x:xf numFmtId="201" fontId="10" fillId="6" borderId="0" xfId="0" applyNumberFormat="1" applyFont="1" applyFill="1" applyBorder="1" applyAlignment="1">
      <x:alignment horizontal="right" vertical="center"/>
    </x:xf>
    <x:xf numFmtId="204" fontId="1" fillId="6" borderId="0" xfId="0" applyNumberFormat="1" applyFont="1" applyFill="1" applyBorder="1" applyAlignment="1">
      <x:alignment horizontal="right" vertical="center"/>
    </x:xf>
    <x:xf numFmtId="204" fontId="10" fillId="6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5" fontId="1" fillId="6" borderId="0" xfId="0" applyNumberFormat="1" applyFont="1" applyFill="1" applyBorder="1" applyAlignment="1">
      <x:alignment horizontal="right" vertical="center"/>
    </x:xf>
    <x:xf numFmtId="205" fontId="10" fillId="6" borderId="0" xfId="0" applyNumberFormat="1" applyFont="1" applyFill="1" applyBorder="1" applyAlignment="1">
      <x:alignment horizontal="right"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horizontal="right" vertical="center"/>
    </x:xf>
    <x:xf numFmtId="201" fontId="11" fillId="6" borderId="2" xfId="0" applyNumberFormat="1" applyFont="1" applyFill="1" applyBorder="1" applyAlignment="1">
      <x:alignment horizontal="right" vertical="center"/>
    </x:xf>
    <x:xf numFmtId="201" fontId="12" fillId="6" borderId="2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204" fontId="11" fillId="0" borderId="2" xfId="0" applyNumberFormat="1" applyFont="1" applyFill="1" applyBorder="1" applyAlignment="1">
      <x:alignment vertical="center"/>
    </x:xf>
    <x:xf numFmtId="204" fontId="11" fillId="0" borderId="2" xfId="0" applyNumberFormat="1" applyFont="1" applyFill="1" applyBorder="1" applyAlignment="1">
      <x:alignment horizontal="right" vertical="center"/>
    </x:xf>
    <x:xf numFmtId="204" fontId="11" fillId="6" borderId="2" xfId="0" applyNumberFormat="1" applyFont="1" applyFill="1" applyBorder="1" applyAlignment="1">
      <x:alignment horizontal="right" vertical="center"/>
    </x:xf>
    <x:xf numFmtId="204" fontId="12" fillId="6" borderId="2" xfId="0" applyNumberFormat="1" applyFont="1" applyFill="1" applyBorder="1" applyAlignment="1">
      <x:alignment horizontal="right" vertical="center"/>
    </x:xf>
    <x:xf numFmtId="202" fontId="6" fillId="6" borderId="0" xfId="0" applyNumberFormat="1" applyFont="1" applyFill="1" applyBorder="1" applyAlignment="1">
      <x:alignment horizontal="right" vertical="center"/>
    </x:xf>
    <x:xf numFmtId="202" fontId="14" fillId="6" borderId="0" xfId="0" applyNumberFormat="1" applyFont="1" applyFill="1" applyBorder="1" applyAlignment="1">
      <x:alignment horizontal="right" vertical="center"/>
    </x:xf>
    <x:xf numFmtId="203" fontId="6" fillId="6" borderId="0" xfId="0" applyNumberFormat="1" applyFont="1" applyFill="1" applyBorder="1" applyAlignment="1">
      <x:alignment horizontal="right" vertical="center"/>
    </x:xf>
    <x:xf numFmtId="203" fontId="14" fillId="6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6" fontId="1" fillId="3" borderId="0" xfId="0" applyNumberFormat="1" applyFont="1" applyFill="1" applyBorder="1" applyAlignment="1">
      <x:alignment horizontal="right" vertical="center"/>
    </x:xf>
    <x:xf numFmtId="206" fontId="1" fillId="4" borderId="0" xfId="0" applyNumberFormat="1" applyFont="1" applyFill="1" applyBorder="1" applyAlignment="1">
      <x:alignment horizontal="right" vertical="center"/>
    </x:xf>
    <x:xf numFmtId="207" fontId="10" fillId="6" borderId="0" xfId="0" applyNumberFormat="1" applyFont="1" applyFill="1" applyBorder="1" applyAlignment="1">
      <x:alignment vertical="center"/>
    </x:xf>
    <x:xf numFmtId="205" fontId="10" fillId="6" borderId="0" xfId="0" applyNumberFormat="1" applyFont="1" applyFill="1" applyBorder="1" applyAlignment="1">
      <x:alignment vertical="center"/>
    </x:xf>
    <x:xf numFmtId="200" fontId="12" fillId="2" borderId="0" xfId="0" applyNumberFormat="1" applyFont="1" applyFill="1" applyBorder="1" applyAlignment="1">
      <x:alignment horizontal="center" vertical="center"/>
    </x:xf>
    <x:xf numFmtId="200" fontId="12" fillId="6" borderId="0" xfId="0" applyNumberFormat="1" applyFont="1" applyFill="1" applyBorder="1" applyAlignment="1">
      <x:alignment horizontal="center" vertical="center"/>
    </x:xf>
    <x:xf numFmtId="202" fontId="10" fillId="6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6" fillId="2" borderId="0" xfId="0" applyNumberFormat="1" applyFont="1" applyFill="1" applyBorder="1"/>
    <x:xf numFmtId="202" fontId="13" fillId="6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d8b11ca164064" /><Relationship Type="http://schemas.openxmlformats.org/officeDocument/2006/relationships/theme" Target="/xl/theme/theme1.xml" Id="Ra7e8b2e9dad64218" /><Relationship Type="http://schemas.openxmlformats.org/officeDocument/2006/relationships/sharedStrings" Target="/xl/sharedStrings.xml" Id="R3f1f5b863a8e465a" /><Relationship Type="http://schemas.openxmlformats.org/officeDocument/2006/relationships/worksheet" Target="/xl/worksheets/sheet1.xml" Id="Rf5365d5453944561" /><Relationship Type="http://schemas.openxmlformats.org/officeDocument/2006/relationships/worksheet" Target="/xl/worksheets/sheet2.xml" Id="R7fc5bcfe938b40b6" /><Relationship Type="http://schemas.openxmlformats.org/officeDocument/2006/relationships/worksheet" Target="/xl/worksheets/sheet3.xml" Id="R23799e54ac56406d" /><Relationship Type="http://schemas.openxmlformats.org/officeDocument/2006/relationships/worksheet" Target="/xl/worksheets/sheet4.xml" Id="R0cd794a9cb5f4e12" /><Relationship Type="http://schemas.openxmlformats.org/officeDocument/2006/relationships/worksheet" Target="/xl/worksheets/sheet5.xml" Id="R0d15df099bec464c" /><Relationship Type="http://schemas.openxmlformats.org/officeDocument/2006/relationships/worksheet" Target="/xl/worksheets/sheet6.xml" Id="Rd95fa810fd1f4f5e" /><Relationship Type="http://schemas.openxmlformats.org/officeDocument/2006/relationships/worksheet" Target="/xl/worksheets/sheet7.xml" Id="R2a1b1d1d7f1b43bb" /><Relationship Type="http://schemas.openxmlformats.org/officeDocument/2006/relationships/worksheet" Target="/xl/worksheets/sheet8.xml" Id="R8ab93bc1f18e48fc" /><Relationship Type="http://schemas.openxmlformats.org/officeDocument/2006/relationships/worksheet" Target="/xl/worksheets/sheet9.xml" Id="R25f822ef829b43cc" /><Relationship Type="http://schemas.openxmlformats.org/officeDocument/2006/relationships/worksheet" Target="/xl/worksheets/sheet10.xml" Id="R86388e78680b424e" /><Relationship Type="http://schemas.openxmlformats.org/officeDocument/2006/relationships/worksheet" Target="/xl/worksheets/sheet11.xml" Id="Rf70448ce98504a56" /><Relationship Type="http://schemas.openxmlformats.org/officeDocument/2006/relationships/worksheet" Target="/xl/worksheets/sheet12.xml" Id="Rba4a91593a364a84" /><Relationship Type="http://schemas.openxmlformats.org/officeDocument/2006/relationships/worksheet" Target="/xl/worksheets/sheet13.xml" Id="R6739aca807d14ef5" /><Relationship Type="http://schemas.openxmlformats.org/officeDocument/2006/relationships/worksheet" Target="/xl/worksheets/sheet14.xml" Id="R3eae7bf15837426b" /><Relationship Type="http://schemas.openxmlformats.org/officeDocument/2006/relationships/worksheet" Target="/xl/worksheets/sheet15.xml" Id="Rcce45f246a194e43" /><Relationship Type="http://schemas.openxmlformats.org/officeDocument/2006/relationships/worksheet" Target="/xl/worksheets/sheet16.xml" Id="R9869407c5c914ef3" /><Relationship Type="http://schemas.openxmlformats.org/officeDocument/2006/relationships/worksheet" Target="/xl/worksheets/sheet17.xml" Id="R1203e9be1cb248c2" /><Relationship Type="http://schemas.openxmlformats.org/officeDocument/2006/relationships/worksheet" Target="/xl/worksheets/sheet18.xml" Id="Rcb273e69614349b3" /><Relationship Type="http://schemas.openxmlformats.org/officeDocument/2006/relationships/worksheet" Target="/xl/worksheets/sheet19.xml" Id="R15c623ed268f4ea1" /><Relationship Type="http://schemas.openxmlformats.org/officeDocument/2006/relationships/worksheet" Target="/xl/worksheets/sheet20.xml" Id="Ra10d5b6a269847fe" /><Relationship Type="http://schemas.openxmlformats.org/officeDocument/2006/relationships/worksheet" Target="/xl/worksheets/sheet21.xml" Id="R99d70f0c2ddb439e" /><Relationship Type="http://schemas.openxmlformats.org/officeDocument/2006/relationships/worksheet" Target="/xl/worksheets/sheet22.xml" Id="R86de45a878ec42aa" /><Relationship Type="http://schemas.openxmlformats.org/officeDocument/2006/relationships/worksheet" Target="/xl/worksheets/sheet23.xml" Id="R05e8af4736344534" /><Relationship Type="http://schemas.openxmlformats.org/officeDocument/2006/relationships/worksheet" Target="/xl/worksheets/sheet24.xml" Id="R4906aa9214ee42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49fb972a8349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net profit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7365D"/>
              </a:solidFill>
              <a:prstDash val="solid"/>
            </a:ln>
          </c:spPr>
          <c:marker>
            <c:symbol val="none"/>
          </c:marker>
          <c:cat>
            <c:strRef>
              <c:f>'Overview'!$C$29:$C$33</c:f>
              <c:strCache>
                <c:ptCount val="0"/>
              </c:strCache>
            </c:strRef>
          </c:cat>
          <c:val>
            <c:numRef>
              <c:f>'Overview'!$D$29:$D$33</c:f>
              <c:numCache>
                <c:formatCode>#,##0.0;(#,##0.0);"–"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Net profit</c:v>
          </c:tx>
          <c:spPr>
            <a:ln xmlns:a="http://schemas.openxmlformats.org/drawingml/2006/main" w="19050">
              <a:solidFill>
                <a:srgbClr val="C17D32"/>
              </a:solidFill>
              <a:prstDash val="solid"/>
            </a:ln>
          </c:spPr>
          <c:marker>
            <c:symbol val="none"/>
          </c:marker>
          <c:cat>
            <c:strRef>
              <c:f>'Overview'!$C$29:$C$33</c:f>
              <c:strCache>
                <c:ptCount val="0"/>
              </c:strCache>
            </c:strRef>
          </c:cat>
          <c:val>
            <c:numRef>
              <c:f>'Overview'!$E$29:$E$33</c:f>
              <c:numCache>
                <c:formatCode>#,##0.0;(#,##0.0);"–"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35</xdr:row>
      <xdr:rowOff>0</xdr:rowOff>
    </xdr:from>
    <xdr:to>
      <xdr:col>9</xdr:col>
      <xdr:colOff>0</xdr:colOff>
      <xdr:row>50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49fb972a8349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e6ee8ea17e4d4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Overview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f>IF('Setup'!E6="","Enter a company in Setup",'Setup'!E6)</x:f>
        <x:v>Enter a company in Setup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 t="str">
        <x:v>Start with Setup. Enter annual reports in the yellow cells.</x:v>
      </x:c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Revenue</x:v>
      </x:c>
      <x:c r="D7" s="15"/>
      <x:c r="E7" s="16" t="str">
        <x:f>IF(COUNT('Income Statement'!E8)&lt;1,"n.a.",IF(TRUE,'Income Statement'!E8,"n.a."))</x:f>
        <x:v>n.a.</x:v>
      </x:c>
      <x:c r="F7" s="16" t="str">
        <x:f>IF(COUNT('Income Statement'!F8)&lt;1,"n.a.",IF(TRUE,'Income Statement'!F8,"n.a."))</x:f>
        <x:v>n.a.</x:v>
      </x:c>
      <x:c r="G7" s="16" t="str">
        <x:f>IF(COUNT('Income Statement'!G8)&lt;1,"n.a.",IF(TRUE,'Income Statement'!G8,"n.a."))</x:f>
        <x:v>n.a.</x:v>
      </x:c>
      <x:c r="H7" s="16" t="str">
        <x:f>IF(COUNT('Income Statement'!H8)&lt;1,"n.a.",IF(TRUE,'Income Statement'!H8,"n.a."))</x:f>
        <x:v>n.a.</x:v>
      </x:c>
      <x:c r="I7" s="16" t="str">
        <x:f>IF(COUNT('Income Statement'!I8)&lt;1,"n.a.",IF(TRUE,'Income Statement'!I8,"n.a."))</x:f>
        <x:v>n.a.</x:v>
      </x:c>
      <x:c r="J7" s="2"/>
      <x:c r="K7" s="2" t="str">
        <x:v>No company data has been assumed or imported into this reusable template.</x:v>
      </x:c>
      <x:c r="L7" s="2"/>
      <x:c r="M7" s="2"/>
    </x:row>
    <x:row r="8" ht="23" customHeight="1">
      <x:c r="A8" s="1"/>
      <x:c r="B8" s="1"/>
      <x:c r="C8" s="2" t="str">
        <x:v>Operating profit (EBIT)</x:v>
      </x:c>
      <x:c r="D8" s="15"/>
      <x:c r="E8" s="17" t="str">
        <x:f>IF(COUNT('Income Statement'!E16)&lt;1,"n.a.",IF(TRUE,'Income Statement'!E16,"n.a."))</x:f>
        <x:v>n.a.</x:v>
      </x:c>
      <x:c r="F8" s="17" t="str">
        <x:f>IF(COUNT('Income Statement'!F16)&lt;1,"n.a.",IF(TRUE,'Income Statement'!F16,"n.a."))</x:f>
        <x:v>n.a.</x:v>
      </x:c>
      <x:c r="G8" s="17" t="str">
        <x:f>IF(COUNT('Income Statement'!G16)&lt;1,"n.a.",IF(TRUE,'Income Statement'!G16,"n.a."))</x:f>
        <x:v>n.a.</x:v>
      </x:c>
      <x:c r="H8" s="17" t="str">
        <x:f>IF(COUNT('Income Statement'!H16)&lt;1,"n.a.",IF(TRUE,'Income Statement'!H16,"n.a."))</x:f>
        <x:v>n.a.</x:v>
      </x:c>
      <x:c r="I8" s="17" t="str">
        <x:f>IF(COUNT('Income Statement'!I16)&lt;1,"n.a.",IF(TRUE,'Income Statement'!I16,"n.a."))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" t="str">
        <x:v>Net profit, group</x:v>
      </x:c>
      <x:c r="D9" s="15"/>
      <x:c r="E9" s="16" t="str">
        <x:f>IF(COUNT('Income Statement'!E28)&lt;1,"n.a.",IF(TRUE,'Income Statement'!E28,"n.a."))</x:f>
        <x:v>n.a.</x:v>
      </x:c>
      <x:c r="F9" s="16" t="str">
        <x:f>IF(COUNT('Income Statement'!F28)&lt;1,"n.a.",IF(TRUE,'Income Statement'!F28,"n.a."))</x:f>
        <x:v>n.a.</x:v>
      </x:c>
      <x:c r="G9" s="16" t="str">
        <x:f>IF(COUNT('Income Statement'!G28)&lt;1,"n.a.",IF(TRUE,'Income Statement'!G28,"n.a."))</x:f>
        <x:v>n.a.</x:v>
      </x:c>
      <x:c r="H9" s="16" t="str">
        <x:f>IF(COUNT('Income Statement'!H28)&lt;1,"n.a.",IF(TRUE,'Income Statement'!H28,"n.a."))</x:f>
        <x:v>n.a.</x:v>
      </x:c>
      <x:c r="I9" s="16" t="str">
        <x:f>IF(COUNT('Income Statement'!I28)&lt;1,"n.a.",IF(TRUE,'Income Statement'!I28,"n.a."))</x:f>
        <x:v>n.a.</x:v>
      </x:c>
      <x:c r="J9" s="2"/>
      <x:c r="K9" s="2" t="str">
        <x:v>Review Checks before interpreting ratios. Compare with industry peers.</x:v>
      </x:c>
      <x:c r="L9" s="2"/>
      <x:c r="M9" s="2"/>
    </x:row>
    <x:row r="10" ht="23" customHeight="1">
      <x:c r="A10" s="1"/>
      <x:c r="B10" s="1"/>
      <x:c r="C10" s="2" t="str">
        <x:v>Free cash flow</x:v>
      </x:c>
      <x:c r="D10" s="15"/>
      <x:c r="E10" s="17" t="str">
        <x:f>IF(COUNT('Capital Calculations'!E19)&lt;1,"n.a.",IF(TRUE,'Capital Calculations'!E19,"n.a."))</x:f>
        <x:v>n.a.</x:v>
      </x:c>
      <x:c r="F10" s="17" t="str">
        <x:f>IF(COUNT('Capital Calculations'!F19)&lt;1,"n.a.",IF(TRUE,'Capital Calculations'!F19,"n.a."))</x:f>
        <x:v>n.a.</x:v>
      </x:c>
      <x:c r="G10" s="17" t="str">
        <x:f>IF(COUNT('Capital Calculations'!G19)&lt;1,"n.a.",IF(TRUE,'Capital Calculations'!G19,"n.a."))</x:f>
        <x:v>n.a.</x:v>
      </x:c>
      <x:c r="H10" s="17" t="str">
        <x:f>IF(COUNT('Capital Calculations'!H19)&lt;1,"n.a.",IF(TRUE,'Capital Calculations'!H19,"n.a."))</x:f>
        <x:v>n.a.</x:v>
      </x:c>
      <x:c r="I10" s="17" t="str">
        <x:f>IF(COUNT('Capital Calculations'!I19)&lt;1,"n.a.",IF(TRUE,'Capital Calculations'!I19,"n.a."))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" t="str">
        <x:v>Net debt</x:v>
      </x:c>
      <x:c r="D11" s="15"/>
      <x:c r="E11" s="16" t="str">
        <x:f>IF(COUNT('Capital Calculations'!E9)&lt;1,"n.a.",IF(TRUE,'Capital Calculations'!E9,"n.a."))</x:f>
        <x:v>n.a.</x:v>
      </x:c>
      <x:c r="F11" s="16" t="str">
        <x:f>IF(COUNT('Capital Calculations'!F9)&lt;1,"n.a.",IF(TRUE,'Capital Calculations'!F9,"n.a."))</x:f>
        <x:v>n.a.</x:v>
      </x:c>
      <x:c r="G11" s="16" t="str">
        <x:f>IF(COUNT('Capital Calculations'!G9)&lt;1,"n.a.",IF(TRUE,'Capital Calculations'!G9,"n.a."))</x:f>
        <x:v>n.a.</x:v>
      </x:c>
      <x:c r="H11" s="16" t="str">
        <x:f>IF(COUNT('Capital Calculations'!H9)&lt;1,"n.a.",IF(TRUE,'Capital Calculations'!H9,"n.a."))</x:f>
        <x:v>n.a.</x:v>
      </x:c>
      <x:c r="I11" s="16" t="str">
        <x:f>IF(COUNT('Capital Calculations'!I9)&lt;1,"n.a.",IF(TRUE,'Capital Calculations'!I9,"n.a."))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Operating margin</x:v>
      </x:c>
      <x:c r="D12" s="21"/>
      <x:c r="E12" s="22" t="str">
        <x:f>IF(COUNT('Profitability'!E9)&lt;1,"n.a.",IF(TRUE,'Profitability'!E9,"n.a."))</x:f>
        <x:v>n.a.</x:v>
      </x:c>
      <x:c r="F12" s="22" t="str">
        <x:f>IF(COUNT('Profitability'!F9)&lt;1,"n.a.",IF(TRUE,'Profitability'!F9,"n.a."))</x:f>
        <x:v>n.a.</x:v>
      </x:c>
      <x:c r="G12" s="22" t="str">
        <x:f>IF(COUNT('Profitability'!G9)&lt;1,"n.a.",IF(TRUE,'Profitability'!G9,"n.a."))</x:f>
        <x:v>n.a.</x:v>
      </x:c>
      <x:c r="H12" s="22" t="str">
        <x:f>IF(COUNT('Profitability'!H9)&lt;1,"n.a.",IF(TRUE,'Profitability'!H9,"n.a."))</x:f>
        <x:v>n.a.</x:v>
      </x:c>
      <x:c r="I12" s="22" t="str">
        <x:f>IF(COUNT('Profitability'!I9)&lt;1,"n.a.",IF(TRUE,'Profitability'!I9,"n.a."))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0" t="str">
        <x:v>ROE, common shareholders</x:v>
      </x:c>
      <x:c r="D13" s="21"/>
      <x:c r="E13" s="23" t="str">
        <x:f>IF(COUNT('Profitability'!E16)&lt;1,"n.a.",IF(TRUE,'Profitability'!E16,"n.a."))</x:f>
        <x:v>n.a.</x:v>
      </x:c>
      <x:c r="F13" s="23" t="str">
        <x:f>IF(COUNT('Profitability'!F16)&lt;1,"n.a.",IF(TRUE,'Profitability'!F16,"n.a."))</x:f>
        <x:v>n.a.</x:v>
      </x:c>
      <x:c r="G13" s="23" t="str">
        <x:f>IF(COUNT('Profitability'!G16)&lt;1,"n.a.",IF(TRUE,'Profitability'!G16,"n.a."))</x:f>
        <x:v>n.a.</x:v>
      </x:c>
      <x:c r="H13" s="23" t="str">
        <x:f>IF(COUNT('Profitability'!H16)&lt;1,"n.a.",IF(TRUE,'Profitability'!H16,"n.a."))</x:f>
        <x:v>n.a.</x:v>
      </x:c>
      <x:c r="I13" s="23" t="str">
        <x:f>IF(COUNT('Profitability'!I16)&lt;1,"n.a.",IF(TRUE,'Profitability'!I16,"n.a."))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0" t="str">
        <x:v>ROIC</x:v>
      </x:c>
      <x:c r="D14" s="21"/>
      <x:c r="E14" s="22" t="str">
        <x:f>IF(COUNT('Profitability'!E18)&lt;1,"n.a.",IF(TRUE,'Profitability'!E18,"n.a."))</x:f>
        <x:v>n.a.</x:v>
      </x:c>
      <x:c r="F14" s="22" t="str">
        <x:f>IF(COUNT('Profitability'!F18)&lt;1,"n.a.",IF(TRUE,'Profitability'!F18,"n.a."))</x:f>
        <x:v>n.a.</x:v>
      </x:c>
      <x:c r="G14" s="22" t="str">
        <x:f>IF(COUNT('Profitability'!G18)&lt;1,"n.a.",IF(TRUE,'Profitability'!G18,"n.a."))</x:f>
        <x:v>n.a.</x:v>
      </x:c>
      <x:c r="H14" s="22" t="str">
        <x:f>IF(COUNT('Profitability'!H18)&lt;1,"n.a.",IF(TRUE,'Profitability'!H18,"n.a."))</x:f>
        <x:v>n.a.</x:v>
      </x:c>
      <x:c r="I14" s="22" t="str">
        <x:f>IF(COUNT('Profitability'!I18)&lt;1,"n.a.",IF(TRUE,'Profitability'!I18,"n.a."))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0" t="str">
        <x:v>Current ratio</x:v>
      </x:c>
      <x:c r="D15" s="26"/>
      <x:c r="E15" s="27" t="str">
        <x:f>IF(COUNT('Liquidity'!E7)&lt;1,"n.a.",IF(TRUE,'Liquidity'!E7,"n.a."))</x:f>
        <x:v>n.a.</x:v>
      </x:c>
      <x:c r="F15" s="27" t="str">
        <x:f>IF(COUNT('Liquidity'!F7)&lt;1,"n.a.",IF(TRUE,'Liquidity'!F7,"n.a."))</x:f>
        <x:v>n.a.</x:v>
      </x:c>
      <x:c r="G15" s="27" t="str">
        <x:f>IF(COUNT('Liquidity'!G7)&lt;1,"n.a.",IF(TRUE,'Liquidity'!G7,"n.a."))</x:f>
        <x:v>n.a.</x:v>
      </x:c>
      <x:c r="H15" s="27" t="str">
        <x:f>IF(COUNT('Liquidity'!H7)&lt;1,"n.a.",IF(TRUE,'Liquidity'!H7,"n.a."))</x:f>
        <x:v>n.a.</x:v>
      </x:c>
      <x:c r="I15" s="27" t="str">
        <x:f>IF(COUNT('Liquidity'!I7)&lt;1,"n.a.",IF(TRUE,'Liquidity'!I7,"n.a."))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0" t="str">
        <x:v>Net debt / EBITDA</x:v>
      </x:c>
      <x:c r="D16" s="26"/>
      <x:c r="E16" s="28" t="str">
        <x:f>IF(COUNT('Debt and Solvency'!E23)&lt;1,"n.a.",IF(TRUE,'Debt and Solvency'!E23,"n.a."))</x:f>
        <x:v>n.a.</x:v>
      </x:c>
      <x:c r="F16" s="28" t="str">
        <x:f>IF(COUNT('Debt and Solvency'!F23)&lt;1,"n.a.",IF(TRUE,'Debt and Solvency'!F23,"n.a."))</x:f>
        <x:v>n.a.</x:v>
      </x:c>
      <x:c r="G16" s="28" t="str">
        <x:f>IF(COUNT('Debt and Solvency'!G23)&lt;1,"n.a.",IF(TRUE,'Debt and Solvency'!G23,"n.a."))</x:f>
        <x:v>n.a.</x:v>
      </x:c>
      <x:c r="H16" s="28" t="str">
        <x:f>IF(COUNT('Debt and Solvency'!H23)&lt;1,"n.a.",IF(TRUE,'Debt and Solvency'!H23,"n.a."))</x:f>
        <x:v>n.a.</x:v>
      </x:c>
      <x:c r="I16" s="28" t="str">
        <x:f>IF(COUNT('Debt and Solvency'!I23)&lt;1,"n.a.",IF(TRUE,'Debt and Solvency'!I23,"n.a."))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" t="str">
        <x:v>Cash conversion cycle, days</x:v>
      </x:c>
      <x:c r="D17" s="15"/>
      <x:c r="E17" s="16" t="str">
        <x:f>IF(COUNT('Efficiency'!E18)&lt;1,"n.a.",IF(TRUE,'Efficiency'!E18,"n.a."))</x:f>
        <x:v>n.a.</x:v>
      </x:c>
      <x:c r="F17" s="16" t="str">
        <x:f>IF(COUNT('Efficiency'!F18)&lt;1,"n.a.",IF(TRUE,'Efficiency'!F18,"n.a."))</x:f>
        <x:v>n.a.</x:v>
      </x:c>
      <x:c r="G17" s="16" t="str">
        <x:f>IF(COUNT('Efficiency'!G18)&lt;1,"n.a.",IF(TRUE,'Efficiency'!G18,"n.a."))</x:f>
        <x:v>n.a.</x:v>
      </x:c>
      <x:c r="H17" s="16" t="str">
        <x:f>IF(COUNT('Efficiency'!H18)&lt;1,"n.a.",IF(TRUE,'Efficiency'!H18,"n.a."))</x:f>
        <x:v>n.a.</x:v>
      </x:c>
      <x:c r="I17" s="16" t="str">
        <x:f>IF(COUNT('Efficiency'!I18)&lt;1,"n.a.",IF(TRUE,'Efficiency'!I18,"n.a."))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 t="str">
        <x:v>Basic EPS</x:v>
      </x:c>
      <x:c r="D18" s="30"/>
      <x:c r="E18" s="31" t="str">
        <x:f>IF(COUNT('Share Valuation'!E8)&lt;1,"n.a.",IF(TRUE,'Share Valuation'!E8,"n.a."))</x:f>
        <x:v>n.a.</x:v>
      </x:c>
      <x:c r="F18" s="31" t="str">
        <x:f>IF(COUNT('Share Valuation'!F8)&lt;1,"n.a.",IF(TRUE,'Share Valuation'!F8,"n.a."))</x:f>
        <x:v>n.a.</x:v>
      </x:c>
      <x:c r="G18" s="31" t="str">
        <x:f>IF(COUNT('Share Valuation'!G8)&lt;1,"n.a.",IF(TRUE,'Share Valuation'!G8,"n.a."))</x:f>
        <x:v>n.a.</x:v>
      </x:c>
      <x:c r="H18" s="31" t="str">
        <x:f>IF(COUNT('Share Valuation'!H8)&lt;1,"n.a.",IF(TRUE,'Share Valuation'!H8,"n.a."))</x:f>
        <x:v>n.a.</x:v>
      </x:c>
      <x:c r="I18" s="31" t="str">
        <x:f>IF(COUNT('Share Valuation'!I8)&lt;1,"n.a.",IF(TRUE,'Share Valuation'!I8,"n.a."))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P/E</x:v>
      </x:c>
      <x:c r="D19" s="26"/>
      <x:c r="E19" s="27" t="str">
        <x:f>IF(COUNT('Share Valuation'!E16)&lt;1,"n.a.",IF(TRUE,'Share Valuation'!E16,"n.a."))</x:f>
        <x:v>n.a.</x:v>
      </x:c>
      <x:c r="F19" s="27" t="str">
        <x:f>IF(COUNT('Share Valuation'!F16)&lt;1,"n.a.",IF(TRUE,'Share Valuation'!F16,"n.a."))</x:f>
        <x:v>n.a.</x:v>
      </x:c>
      <x:c r="G19" s="27" t="str">
        <x:f>IF(COUNT('Share Valuation'!G16)&lt;1,"n.a.",IF(TRUE,'Share Valuation'!G16,"n.a."))</x:f>
        <x:v>n.a.</x:v>
      </x:c>
      <x:c r="H19" s="27" t="str">
        <x:f>IF(COUNT('Share Valuation'!H16)&lt;1,"n.a.",IF(TRUE,'Share Valuation'!H16,"n.a."))</x:f>
        <x:v>n.a.</x:v>
      </x:c>
      <x:c r="I19" s="27" t="str">
        <x:f>IF(COUNT('Share Valuation'!I16)&lt;1,"n.a.",IF(TRUE,'Share Valuation'!I16,"n.a."))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EV / EBITDA</x:v>
      </x:c>
      <x:c r="D20" s="26"/>
      <x:c r="E20" s="28" t="str">
        <x:f>IF(COUNT('Share Valuation'!E20)&lt;1,"n.a.",IF(TRUE,'Share Valuation'!E20,"n.a."))</x:f>
        <x:v>n.a.</x:v>
      </x:c>
      <x:c r="F20" s="28" t="str">
        <x:f>IF(COUNT('Share Valuation'!F20)&lt;1,"n.a.",IF(TRUE,'Share Valuation'!F20,"n.a."))</x:f>
        <x:v>n.a.</x:v>
      </x:c>
      <x:c r="G20" s="28" t="str">
        <x:f>IF(COUNT('Share Valuation'!G20)&lt;1,"n.a.",IF(TRUE,'Share Valuation'!G20,"n.a."))</x:f>
        <x:v>n.a.</x:v>
      </x:c>
      <x:c r="H20" s="28" t="str">
        <x:f>IF(COUNT('Share Valuation'!H20)&lt;1,"n.a.",IF(TRUE,'Share Valuation'!H20,"n.a."))</x:f>
        <x:v>n.a.</x:v>
      </x:c>
      <x:c r="I20" s="28" t="str">
        <x:f>IF(COUNT('Share Valuation'!I20)&lt;1,"n.a.",IF(TRUE,'Share Valuation'!I20,"n.a."))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Dividend yield</x:v>
      </x:c>
      <x:c r="D21" s="21"/>
      <x:c r="E21" s="23" t="str">
        <x:f>IF(COUNT('Share Valuation'!E25)&lt;1,"n.a.",IF(TRUE,'Share Valuation'!E25,"n.a."))</x:f>
        <x:v>n.a.</x:v>
      </x:c>
      <x:c r="F21" s="23" t="str">
        <x:f>IF(COUNT('Share Valuation'!F25)&lt;1,"n.a.",IF(TRUE,'Share Valuation'!F25,"n.a."))</x:f>
        <x:v>n.a.</x:v>
      </x:c>
      <x:c r="G21" s="23" t="str">
        <x:f>IF(COUNT('Share Valuation'!G25)&lt;1,"n.a.",IF(TRUE,'Share Valuation'!G25,"n.a."))</x:f>
        <x:v>n.a.</x:v>
      </x:c>
      <x:c r="H21" s="23" t="str">
        <x:f>IF(COUNT('Share Valuation'!H25)&lt;1,"n.a.",IF(TRUE,'Share Valuation'!H25,"n.a."))</x:f>
        <x:v>n.a.</x:v>
      </x:c>
      <x:c r="I21" s="23" t="str">
        <x:f>IF(COUNT('Share Valuation'!I25)&lt;1,"n.a.",IF(TRUE,'Share Valuation'!I25,"n.a."))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" t="str">
        <x:v>P/E-based price estimate</x:v>
      </x:c>
      <x:c r="D22" s="30"/>
      <x:c r="E22" s="31" t="str">
        <x:f>IF(COUNT('Share Valuation'!E36)&lt;1,"n.a.",IF(TRUE,'Share Valuation'!E36,"n.a."))</x:f>
        <x:v>n.a.</x:v>
      </x:c>
      <x:c r="F22" s="31" t="str">
        <x:f>IF(COUNT('Share Valuation'!F36)&lt;1,"n.a.",IF(TRUE,'Share Valuation'!F36,"n.a."))</x:f>
        <x:v>n.a.</x:v>
      </x:c>
      <x:c r="G22" s="31" t="str">
        <x:f>IF(COUNT('Share Valuation'!G36)&lt;1,"n.a.",IF(TRUE,'Share Valuation'!G36,"n.a."))</x:f>
        <x:v>n.a.</x:v>
      </x:c>
      <x:c r="H22" s="31" t="str">
        <x:f>IF(COUNT('Share Valuation'!H36)&lt;1,"n.a.",IF(TRUE,'Share Valuation'!H36,"n.a."))</x:f>
        <x:v>n.a.</x:v>
      </x:c>
      <x:c r="I22" s="31" t="str">
        <x:f>IF(COUNT('Share Valuation'!I36)&lt;1,"n.a.",IF(TRUE,'Share Valuation'!I36,"n.a."))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" t="str">
        <x:v>Entry price after safety margin</x:v>
      </x:c>
      <x:c r="D23" s="30"/>
      <x:c r="E23" s="32" t="str">
        <x:f>IF(COUNT('Share Valuation'!E39)&lt;1,"n.a.",IF(TRUE,'Share Valuation'!E39,"n.a."))</x:f>
        <x:v>n.a.</x:v>
      </x:c>
      <x:c r="F23" s="32" t="str">
        <x:f>IF(COUNT('Share Valuation'!F39)&lt;1,"n.a.",IF(TRUE,'Share Valuation'!F39,"n.a."))</x:f>
        <x:v>n.a.</x:v>
      </x:c>
      <x:c r="G23" s="32" t="str">
        <x:f>IF(COUNT('Share Valuation'!G39)&lt;1,"n.a.",IF(TRUE,'Share Valuation'!G39,"n.a."))</x:f>
        <x:v>n.a.</x:v>
      </x:c>
      <x:c r="H23" s="32" t="str">
        <x:f>IF(COUNT('Share Valuation'!H39)&lt;1,"n.a.",IF(TRUE,'Share Valuation'!H39,"n.a."))</x:f>
        <x:v>n.a.</x:v>
      </x:c>
      <x:c r="I23" s="32" t="str">
        <x:f>IF(COUNT('Share Valuation'!I39)&lt;1,"n.a.",IF(TRUE,'Share Valuation'!I39,"n.a."))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 t="str">
        <x:v>Year</x:v>
      </x:c>
      <x:c r="D28" s="2" t="str">
        <x:v>Revenue</x:v>
      </x:c>
      <x:c r="E28" s="2" t="str">
        <x:v>Net profit</x:v>
      </x:c>
      <x:c r="F28" s="2"/>
      <x:c r="G28" s="2"/>
      <x:c r="H28" s="2"/>
      <x:c r="I28" s="2"/>
      <x:c r="J28" s="2"/>
      <x:c r="K28" s="2"/>
      <x:c r="L28" s="2"/>
      <x:c r="M28" s="2"/>
    </x:row>
    <x:row r="29">
      <x:c r="C29" t="str">
        <x:f>E$5&amp;""</x:f>
        <x:v>2021</x:v>
      </x:c>
      <x:c r="D29" s="89" t="str">
        <x:f>IF(COUNT('Income Statement'!E8)&lt;1,"n.a.",IF(TRUE,'Income Statement'!E8,"n.a."))</x:f>
        <x:v>n.a.</x:v>
      </x:c>
      <x:c r="E29" s="89" t="str">
        <x:f>IF(COUNT('Income Statement'!E28)&lt;1,"n.a.",IF(TRUE,'Income Statement'!E28,"n.a."))</x:f>
        <x:v>n.a.</x:v>
      </x:c>
    </x:row>
    <x:row r="30">
      <x:c r="C30" t="str">
        <x:f>F$5&amp;""</x:f>
        <x:v>2022</x:v>
      </x:c>
      <x:c r="D30" s="89" t="str">
        <x:f>IF(COUNT('Income Statement'!F8)&lt;1,"n.a.",IF(TRUE,'Income Statement'!F8,"n.a."))</x:f>
        <x:v>n.a.</x:v>
      </x:c>
      <x:c r="E30" s="89" t="str">
        <x:f>IF(COUNT('Income Statement'!F28)&lt;1,"n.a.",IF(TRUE,'Income Statement'!F28,"n.a."))</x:f>
        <x:v>n.a.</x:v>
      </x:c>
    </x:row>
    <x:row r="31">
      <x:c r="C31" t="str">
        <x:f>G$5&amp;""</x:f>
        <x:v>2023</x:v>
      </x:c>
      <x:c r="D31" s="89" t="str">
        <x:f>IF(COUNT('Income Statement'!G8)&lt;1,"n.a.",IF(TRUE,'Income Statement'!G8,"n.a."))</x:f>
        <x:v>n.a.</x:v>
      </x:c>
      <x:c r="E31" s="89" t="str">
        <x:f>IF(COUNT('Income Statement'!G28)&lt;1,"n.a.",IF(TRUE,'Income Statement'!G28,"n.a."))</x:f>
        <x:v>n.a.</x:v>
      </x:c>
    </x:row>
    <x:row r="32">
      <x:c r="C32" t="str">
        <x:f>H$5&amp;""</x:f>
        <x:v>2024</x:v>
      </x:c>
      <x:c r="D32" s="89" t="str">
        <x:f>IF(COUNT('Income Statement'!H8)&lt;1,"n.a.",IF(TRUE,'Income Statement'!H8,"n.a."))</x:f>
        <x:v>n.a.</x:v>
      </x:c>
      <x:c r="E32" s="89" t="str">
        <x:f>IF(COUNT('Income Statement'!H28)&lt;1,"n.a.",IF(TRUE,'Income Statement'!H28,"n.a."))</x:f>
        <x:v>n.a.</x:v>
      </x:c>
    </x:row>
    <x:row r="33">
      <x:c r="C33" t="str">
        <x:f>I$5&amp;""</x:f>
        <x:v>2025</x:v>
      </x:c>
      <x:c r="D33" s="89" t="str">
        <x:f>IF(COUNT('Income Statement'!I8)&lt;1,"n.a.",IF(TRUE,'Income Statement'!I8,"n.a."))</x:f>
        <x:v>n.a.</x:v>
      </x:c>
      <x:c r="E33" s="89" t="str">
        <x:f>IF(COUNT('Income Statement'!I28)&lt;1,"n.a.",IF(TRUE,'Income Statement'!I28,"n.a."))</x:f>
        <x:v>n.a.</x:v>
      </x:c>
    </x:row>
  </x:sheetData>
  <x:pageMargins left="0.7" right="0.7" top="0.75" bottom="0.75" header="0.3" footer="0.3"/>
  <x:drawing xmlns:r="http://schemas.openxmlformats.org/officeDocument/2006/relationships" r:id="R7fe6ee8ea17e4d4a"/>
</x:worksheet>
</file>

<file path=xl/worksheets/sheet2.xml><?xml version="1.0" encoding="utf-8"?>
<x:worksheet xmlns:x="http://schemas.openxmlformats.org/spreadsheetml/2006/main">
  <x:sheetPr>
    <x:tabColor rgb="FF5D789B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Setup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Enter the company, units and latest reporting year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1"/>
      <x:c r="B6" s="1"/>
      <x:c r="C6" s="2" t="str">
        <x:v>Company</x:v>
      </x:c>
      <x:c r="D6" s="2"/>
      <x:c r="E6" s="6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Ticker</x:v>
      </x:c>
      <x:c r="D7" s="2"/>
      <x:c r="E7" s="6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1"/>
      <x:c r="B8" s="1"/>
      <x:c r="C8" s="2" t="str">
        <x:v>Sector</x:v>
      </x:c>
      <x:c r="D8" s="2"/>
      <x:c r="E8" s="6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1"/>
      <x:c r="B9" s="1"/>
      <x:c r="C9" s="2" t="str">
        <x:v>Reporting and share-price currency</x:v>
      </x:c>
      <x:c r="D9" s="2"/>
      <x:c r="E9" s="62" t="str">
        <x:v>EUR</x:v>
      </x:c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1"/>
      <x:c r="B10" s="1"/>
      <x:c r="C10" s="2" t="str">
        <x:v>Monetary scale (1 / 1,000 / 1,000,000)</x:v>
      </x:c>
      <x:c r="D10" s="2"/>
      <x:c r="E10" s="77" t="n">
        <x:v>1000000</x:v>
      </x:c>
      <x:c r="F10" s="2"/>
      <x:c r="G10" s="2"/>
      <x:c r="H10" s="2"/>
      <x:c r="I10" s="2"/>
      <x:c r="J10" s="2"/>
      <x:c r="K10" s="2" t="str">
        <x:v>Example: 120 means 120 million when scale = 1,000,000.</x:v>
      </x:c>
      <x:c r="L10" s="2"/>
      <x:c r="M10" s="2"/>
    </x:row>
    <x:row r="11" ht="23" customHeight="1">
      <x:c r="A11" s="1"/>
      <x:c r="B11" s="1"/>
      <x:c r="C11" s="2" t="str">
        <x:v>Share-count scale (1 / 1,000 / 1,000,000)</x:v>
      </x:c>
      <x:c r="D11" s="2"/>
      <x:c r="E11" s="77" t="n">
        <x:v>1000000</x:v>
      </x:c>
      <x:c r="F11" s="2"/>
      <x:c r="G11" s="2"/>
      <x:c r="H11" s="2"/>
      <x:c r="I11" s="2"/>
      <x:c r="J11" s="2"/>
      <x:c r="K11" s="2" t="str">
        <x:v>Example: 10 means 10 million shares at a scale of 1,000,000.</x:v>
      </x:c>
      <x:c r="L11" s="2"/>
      <x:c r="M11" s="2"/>
    </x:row>
    <x:row r="12" ht="23" customHeight="1">
      <x:c r="A12" s="1"/>
      <x:c r="B12" s="1"/>
      <x:c r="C12" s="2" t="str">
        <x:v>Latest fiscal year label, editable</x:v>
      </x:c>
      <x:c r="D12" s="2"/>
      <x:c r="E12" s="62" t="n">
        <x:v>2025</x:v>
      </x:c>
      <x:c r="F12" s="2"/>
      <x:c r="G12" s="2"/>
      <x:c r="H12" s="2"/>
      <x:c r="I12" s="2"/>
      <x:c r="J12" s="2"/>
      <x:c r="K12" s="2"/>
      <x:c r="L12" s="2"/>
      <x:c r="M12" s="2"/>
    </x:row>
    <x:row r="13" ht="23" customHeight="1">
      <x:c r="A13" s="1"/>
      <x:c r="B13" s="1"/>
      <x:c r="C13" s="2" t="str">
        <x:v>Days used in turnover ratios (360 or 365)</x:v>
      </x:c>
      <x:c r="D13" s="2"/>
      <x:c r="E13" s="62" t="n">
        <x:v>365</x:v>
      </x:c>
      <x:c r="F13" s="2"/>
      <x:c r="G13" s="2"/>
      <x:c r="H13" s="2"/>
      <x:c r="I13" s="2"/>
      <x:c r="J13" s="2"/>
      <x:c r="K13" s="2"/>
      <x:c r="L13" s="2"/>
      <x:c r="M13" s="2"/>
    </x:row>
    <x:row r="14" ht="23" customHeight="1">
      <x:c r="A14" s="1"/>
      <x:c r="B14" s="1"/>
      <x:c r="C14" s="2" t="str">
        <x:v>Reconciliation tolerance in displayed units</x:v>
      </x:c>
      <x:c r="D14" s="2"/>
      <x:c r="E14" s="78" t="n">
        <x:v>0.01</x:v>
      </x:c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1"/>
      <x:c r="B15" s="1"/>
      <x:c r="C15" s="2" t="str">
        <x:v>Reporting scope</x:v>
      </x:c>
      <x:c r="D15" s="2"/>
      <x:c r="E15" s="62" t="str">
        <x:v>Consolidated</x:v>
      </x:c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2" t="str">
        <x:v>Start here, then enter published data in the five input statement tabs.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2" t="str">
        <x:v>Yellow cells are editable. Blue numbers are inputs. Green numbers are linked calculations.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2" t="str">
        <x:v>Use one company per file. Save a new copy before entering another company.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2" t="str">
        <x:v>Enter zero only when an item is confirmed absent. Leave unknown values blank.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 t="str">
        <x:v>n.a. means a required input is missing or the denominator is not meaningful.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 t="str">
        <x:v>Column D holds the preceding year. E:I contain the five analysis years.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 t="str">
        <x:v>Changing the year relabels existing columns. Move or clear data when rolling the model.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 t="str">
        <x:v>Use one money scale, one share scale and matching price currency throughout.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 t="str">
        <x:v>Totals are reported inputs. Detailed components are optional until you need reconciliation.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 t="str">
        <x:v>The Greek and English files are independent copies with identical calculation logic.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dataValidations count="4">
    <x:dataValidation type="list" sqref="E10:E11">
      <x:formula1>"1,1000,1000000"</x:formula1>
    </x:dataValidation>
    <x:dataValidation type="list" sqref="E13">
      <x:formula1>"360,365"</x:formula1>
    </x:dataValidation>
    <x:dataValidation type="list" sqref="E15">
      <x:formula1>"Consolidated,Standalone"</x:formula1>
    </x:dataValidation>
    <x:dataValidation type="whole" operator="between" sqref="E12">
      <x:formula1>1900</x:formula1>
      <x:formula2>2200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Profitability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Margins and returns on capital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Profit margins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0" t="str">
        <x:v>Gross margin</x:v>
      </x:c>
      <x:c r="D8" s="21"/>
      <x:c r="E8" s="36" t="str">
        <x:f>IF(COUNT('Income Statement'!E10,'Income Statement'!E8)&lt;2,"n.a.",IF(('Income Statement'!E8)&gt;0,('Income Statement'!E10)/('Income Statement'!E8),"n.a."))</x:f>
        <x:v>n.a.</x:v>
      </x:c>
      <x:c r="F8" s="36" t="str">
        <x:f>IF(COUNT('Income Statement'!F10,'Income Statement'!F8)&lt;2,"n.a.",IF(('Income Statement'!F8)&gt;0,('Income Statement'!F10)/('Income Statement'!F8),"n.a."))</x:f>
        <x:v>n.a.</x:v>
      </x:c>
      <x:c r="G8" s="36" t="str">
        <x:f>IF(COUNT('Income Statement'!G10,'Income Statement'!G8)&lt;2,"n.a.",IF(('Income Statement'!G8)&gt;0,('Income Statement'!G10)/('Income Statement'!G8),"n.a."))</x:f>
        <x:v>n.a.</x:v>
      </x:c>
      <x:c r="H8" s="36" t="str">
        <x:f>IF(COUNT('Income Statement'!H10,'Income Statement'!H8)&lt;2,"n.a.",IF(('Income Statement'!H8)&gt;0,('Income Statement'!H10)/('Income Statement'!H8),"n.a."))</x:f>
        <x:v>n.a.</x:v>
      </x:c>
      <x:c r="I8" s="36" t="str">
        <x:f>IF(COUNT('Income Statement'!I10,'Income Statement'!I8)&lt;2,"n.a.",IF(('Income Statement'!I8)&gt;0,('Income Statement'!I10)/('Income Statement'!I8),"n.a."))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Operating margin (EBIT)</x:v>
      </x:c>
      <x:c r="D9" s="21"/>
      <x:c r="E9" s="37" t="str">
        <x:f>IF(COUNT('Income Statement'!E16,'Income Statement'!E8)&lt;2,"n.a.",IF(('Income Statement'!E8)&gt;0,('Income Statement'!E16)/('Income Statement'!E8),"n.a."))</x:f>
        <x:v>n.a.</x:v>
      </x:c>
      <x:c r="F9" s="37" t="str">
        <x:f>IF(COUNT('Income Statement'!F16,'Income Statement'!F8)&lt;2,"n.a.",IF(('Income Statement'!F8)&gt;0,('Income Statement'!F16)/('Income Statement'!F8),"n.a."))</x:f>
        <x:v>n.a.</x:v>
      </x:c>
      <x:c r="G9" s="37" t="str">
        <x:f>IF(COUNT('Income Statement'!G16,'Income Statement'!G8)&lt;2,"n.a.",IF(('Income Statement'!G8)&gt;0,('Income Statement'!G16)/('Income Statement'!G8),"n.a."))</x:f>
        <x:v>n.a.</x:v>
      </x:c>
      <x:c r="H9" s="37" t="str">
        <x:f>IF(COUNT('Income Statement'!H16,'Income Statement'!H8)&lt;2,"n.a.",IF(('Income Statement'!H8)&gt;0,('Income Statement'!H16)/('Income Statement'!H8),"n.a."))</x:f>
        <x:v>n.a.</x:v>
      </x:c>
      <x:c r="I9" s="37" t="str">
        <x:f>IF(COUNT('Income Statement'!I16,'Income Statement'!I8)&lt;2,"n.a.",IF(('Income Statement'!I8)&gt;0,('Income Statement'!I16)/('Income Statement'!I8),"n.a."))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0" t="str">
        <x:v>EBITDA margin</x:v>
      </x:c>
      <x:c r="D10" s="21"/>
      <x:c r="E10" s="36" t="str">
        <x:f>IF(COUNT('Capital Calculations'!E16,'Income Statement'!E8)&lt;2,"n.a.",IF(('Income Statement'!E8)&gt;0,('Capital Calculations'!E16)/('Income Statement'!E8),"n.a."))</x:f>
        <x:v>n.a.</x:v>
      </x:c>
      <x:c r="F10" s="36" t="str">
        <x:f>IF(COUNT('Capital Calculations'!F16,'Income Statement'!F8)&lt;2,"n.a.",IF(('Income Statement'!F8)&gt;0,('Capital Calculations'!F16)/('Income Statement'!F8),"n.a."))</x:f>
        <x:v>n.a.</x:v>
      </x:c>
      <x:c r="G10" s="36" t="str">
        <x:f>IF(COUNT('Capital Calculations'!G16,'Income Statement'!G8)&lt;2,"n.a.",IF(('Income Statement'!G8)&gt;0,('Capital Calculations'!G16)/('Income Statement'!G8),"n.a."))</x:f>
        <x:v>n.a.</x:v>
      </x:c>
      <x:c r="H10" s="36" t="str">
        <x:f>IF(COUNT('Capital Calculations'!H16,'Income Statement'!H8)&lt;2,"n.a.",IF(('Income Statement'!H8)&gt;0,('Capital Calculations'!H16)/('Income Statement'!H8),"n.a."))</x:f>
        <x:v>n.a.</x:v>
      </x:c>
      <x:c r="I10" s="36" t="str">
        <x:f>IF(COUNT('Capital Calculations'!I16,'Income Statement'!I8)&lt;2,"n.a.",IF(('Income Statement'!I8)&gt;0,('Capital Calculations'!I16)/('Income Statement'!I8),"n.a."))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Pre-tax profit margin</x:v>
      </x:c>
      <x:c r="D11" s="21"/>
      <x:c r="E11" s="37" t="str">
        <x:f>IF(COUNT('Income Statement'!E25,'Income Statement'!E8)&lt;2,"n.a.",IF(('Income Statement'!E8)&gt;0,('Income Statement'!E25)/('Income Statement'!E8),"n.a."))</x:f>
        <x:v>n.a.</x:v>
      </x:c>
      <x:c r="F11" s="37" t="str">
        <x:f>IF(COUNT('Income Statement'!F25,'Income Statement'!F8)&lt;2,"n.a.",IF(('Income Statement'!F8)&gt;0,('Income Statement'!F25)/('Income Statement'!F8),"n.a."))</x:f>
        <x:v>n.a.</x:v>
      </x:c>
      <x:c r="G11" s="37" t="str">
        <x:f>IF(COUNT('Income Statement'!G25,'Income Statement'!G8)&lt;2,"n.a.",IF(('Income Statement'!G8)&gt;0,('Income Statement'!G25)/('Income Statement'!G8),"n.a."))</x:f>
        <x:v>n.a.</x:v>
      </x:c>
      <x:c r="H11" s="37" t="str">
        <x:f>IF(COUNT('Income Statement'!H25,'Income Statement'!H8)&lt;2,"n.a.",IF(('Income Statement'!H8)&gt;0,('Income Statement'!H25)/('Income Statement'!H8),"n.a."))</x:f>
        <x:v>n.a.</x:v>
      </x:c>
      <x:c r="I11" s="37" t="str">
        <x:f>IF(COUNT('Income Statement'!I25,'Income Statement'!I8)&lt;2,"n.a.",IF(('Income Statement'!I8)&gt;0,('Income Statement'!I25)/('Income Statement'!I8),"n.a."))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Net profit margin (group)</x:v>
      </x:c>
      <x:c r="D12" s="21"/>
      <x:c r="E12" s="36" t="str">
        <x:f>IF(COUNT('Income Statement'!E28,'Income Statement'!E8)&lt;2,"n.a.",IF(('Income Statement'!E8)&gt;0,('Income Statement'!E28)/('Income Statement'!E8),"n.a."))</x:f>
        <x:v>n.a.</x:v>
      </x:c>
      <x:c r="F12" s="36" t="str">
        <x:f>IF(COUNT('Income Statement'!F28,'Income Statement'!F8)&lt;2,"n.a.",IF(('Income Statement'!F8)&gt;0,('Income Statement'!F28)/('Income Statement'!F8),"n.a."))</x:f>
        <x:v>n.a.</x:v>
      </x:c>
      <x:c r="G12" s="36" t="str">
        <x:f>IF(COUNT('Income Statement'!G28,'Income Statement'!G8)&lt;2,"n.a.",IF(('Income Statement'!G8)&gt;0,('Income Statement'!G28)/('Income Statement'!G8),"n.a."))</x:f>
        <x:v>n.a.</x:v>
      </x:c>
      <x:c r="H12" s="36" t="str">
        <x:f>IF(COUNT('Income Statement'!H28,'Income Statement'!H8)&lt;2,"n.a.",IF(('Income Statement'!H8)&gt;0,('Income Statement'!H28)/('Income Statement'!H8),"n.a."))</x:f>
        <x:v>n.a.</x:v>
      </x:c>
      <x:c r="I12" s="36" t="str">
        <x:f>IF(COUNT('Income Statement'!I28,'Income Statement'!I8)&lt;2,"n.a.",IF(('Income Statement'!I8)&gt;0,('Income Statement'!I28)/('Income Statement'!I8),"n.a."))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0" t="str">
        <x:v>Operating expense ratio</x:v>
      </x:c>
      <x:c r="D13" s="21"/>
      <x:c r="E13" s="37" t="str">
        <x:f>IF(COUNT('Capital Calculations'!E17,'Income Statement'!E8)&lt;2,"n.a.",IF(('Income Statement'!E8)&gt;0,('Capital Calculations'!E17)/('Income Statement'!E8),"n.a."))</x:f>
        <x:v>n.a.</x:v>
      </x:c>
      <x:c r="F13" s="37" t="str">
        <x:f>IF(COUNT('Capital Calculations'!F17,'Income Statement'!F8)&lt;2,"n.a.",IF(('Income Statement'!F8)&gt;0,('Capital Calculations'!F17)/('Income Statement'!F8),"n.a."))</x:f>
        <x:v>n.a.</x:v>
      </x:c>
      <x:c r="G13" s="37" t="str">
        <x:f>IF(COUNT('Capital Calculations'!G17,'Income Statement'!G8)&lt;2,"n.a.",IF(('Income Statement'!G8)&gt;0,('Capital Calculations'!G17)/('Income Statement'!G8),"n.a."))</x:f>
        <x:v>n.a.</x:v>
      </x:c>
      <x:c r="H13" s="37" t="str">
        <x:f>IF(COUNT('Capital Calculations'!H17,'Income Statement'!H8)&lt;2,"n.a.",IF(('Income Statement'!H8)&gt;0,('Capital Calculations'!H17)/('Income Statement'!H8),"n.a."))</x:f>
        <x:v>n.a.</x:v>
      </x:c>
      <x:c r="I13" s="37" t="str">
        <x:f>IF(COUNT('Capital Calculations'!I17,'Income Statement'!I8)&lt;2,"n.a.",IF(('Income Statement'!I8)&gt;0,('Capital Calculations'!I17)/('Income Statement'!I8),"n.a."))</x:f>
        <x:v>n.a.</x:v>
      </x:c>
      <x:c r="J13" s="2"/>
      <x:c r="K13" s="2"/>
      <x:c r="L13" s="2"/>
      <x:c r="M13" s="2"/>
    </x:row>
    <x:row r="14" ht="25" customHeight="1">
      <x:c r="A14" s="1"/>
      <x:c r="B14" s="1"/>
      <x:c r="C14" s="34" t="str">
        <x:v>Returns on capital</x:v>
      </x:c>
      <x:c r="D14" s="34"/>
      <x:c r="E14" s="34"/>
      <x:c r="F14" s="34"/>
      <x:c r="G14" s="34"/>
      <x:c r="H14" s="34"/>
      <x:c r="I14" s="34"/>
      <x:c r="J14" s="2"/>
      <x:c r="K14" s="2"/>
      <x:c r="L14" s="2"/>
      <x:c r="M14" s="2"/>
    </x:row>
    <x:row r="15" ht="23" customHeight="1">
      <x:c r="A15" s="1"/>
      <x:c r="B15" s="1"/>
      <x:c r="C15" s="20" t="str">
        <x:v>ROE, group average equity</x:v>
      </x:c>
      <x:c r="D15" s="21"/>
      <x:c r="E15" s="37" t="str">
        <x:f>IF(COUNT('Income Statement'!E28,'Capital Calculations'!E23)&lt;2,"n.a.",IF(('Capital Calculations'!E23)&gt;0,('Income Statement'!E28)/('Capital Calculations'!E23),"n.a."))</x:f>
        <x:v>n.a.</x:v>
      </x:c>
      <x:c r="F15" s="37" t="str">
        <x:f>IF(COUNT('Income Statement'!F28,'Capital Calculations'!F23)&lt;2,"n.a.",IF(('Capital Calculations'!F23)&gt;0,('Income Statement'!F28)/('Capital Calculations'!F23),"n.a."))</x:f>
        <x:v>n.a.</x:v>
      </x:c>
      <x:c r="G15" s="37" t="str">
        <x:f>IF(COUNT('Income Statement'!G28,'Capital Calculations'!G23)&lt;2,"n.a.",IF(('Capital Calculations'!G23)&gt;0,('Income Statement'!G28)/('Capital Calculations'!G23),"n.a."))</x:f>
        <x:v>n.a.</x:v>
      </x:c>
      <x:c r="H15" s="37" t="str">
        <x:f>IF(COUNT('Income Statement'!H28,'Capital Calculations'!H23)&lt;2,"n.a.",IF(('Capital Calculations'!H23)&gt;0,('Income Statement'!H28)/('Capital Calculations'!H23),"n.a."))</x:f>
        <x:v>n.a.</x:v>
      </x:c>
      <x:c r="I15" s="37" t="str">
        <x:f>IF(COUNT('Income Statement'!I28,'Capital Calculations'!I23)&lt;2,"n.a.",IF(('Capital Calculations'!I23)&gt;0,('Income Statement'!I28)/('Capital Calculations'!I23),"n.a."))</x:f>
        <x:v>n.a.</x:v>
      </x:c>
      <x:c r="J15" s="2"/>
      <x:c r="K15" s="2" t="str">
        <x:v>Group net profit / average total equity.</x:v>
      </x:c>
      <x:c r="L15" s="2"/>
      <x:c r="M15" s="2"/>
    </x:row>
    <x:row r="16" ht="23" customHeight="1">
      <x:c r="A16" s="1"/>
      <x:c r="B16" s="1"/>
      <x:c r="C16" s="20" t="str">
        <x:v>ROE, common shareholders</x:v>
      </x:c>
      <x:c r="D16" s="21"/>
      <x:c r="E16" s="36" t="str">
        <x:f>IF(COUNT('Capital Calculations'!E15,'Capital Calculations'!E24)&lt;2,"n.a.",IF(('Capital Calculations'!E24)&gt;0,('Capital Calculations'!E15)/('Capital Calculations'!E24),"n.a."))</x:f>
        <x:v>n.a.</x:v>
      </x:c>
      <x:c r="F16" s="36" t="str">
        <x:f>IF(COUNT('Capital Calculations'!F15,'Capital Calculations'!F24)&lt;2,"n.a.",IF(('Capital Calculations'!F24)&gt;0,('Capital Calculations'!F15)/('Capital Calculations'!F24),"n.a."))</x:f>
        <x:v>n.a.</x:v>
      </x:c>
      <x:c r="G16" s="36" t="str">
        <x:f>IF(COUNT('Capital Calculations'!G15,'Capital Calculations'!G24)&lt;2,"n.a.",IF(('Capital Calculations'!G24)&gt;0,('Capital Calculations'!G15)/('Capital Calculations'!G24),"n.a."))</x:f>
        <x:v>n.a.</x:v>
      </x:c>
      <x:c r="H16" s="36" t="str">
        <x:f>IF(COUNT('Capital Calculations'!H15,'Capital Calculations'!H24)&lt;2,"n.a.",IF(('Capital Calculations'!H24)&gt;0,('Capital Calculations'!H15)/('Capital Calculations'!H24),"n.a."))</x:f>
        <x:v>n.a.</x:v>
      </x:c>
      <x:c r="I16" s="36" t="str">
        <x:f>IF(COUNT('Capital Calculations'!I15,'Capital Calculations'!I24)&lt;2,"n.a.",IF(('Capital Calculations'!I24)&gt;0,('Capital Calculations'!I15)/('Capital Calculations'!I24),"n.a."))</x:f>
        <x:v>n.a.</x:v>
      </x:c>
      <x:c r="J16" s="2"/>
      <x:c r="K16" s="2" t="str">
        <x:v>Common earnings / average common parent equity.</x:v>
      </x:c>
      <x:c r="L16" s="2"/>
      <x:c r="M16" s="2"/>
    </x:row>
    <x:row r="17" ht="23" customHeight="1">
      <x:c r="A17" s="1"/>
      <x:c r="B17" s="1"/>
      <x:c r="C17" s="20" t="str">
        <x:v>ROA, average total assets</x:v>
      </x:c>
      <x:c r="D17" s="21"/>
      <x:c r="E17" s="37" t="str">
        <x:f>IF(COUNT('Income Statement'!E28,'Capital Calculations'!E22)&lt;2,"n.a.",IF(('Capital Calculations'!E22)&gt;0,('Income Statement'!E28)/('Capital Calculations'!E22),"n.a."))</x:f>
        <x:v>n.a.</x:v>
      </x:c>
      <x:c r="F17" s="37" t="str">
        <x:f>IF(COUNT('Income Statement'!F28,'Capital Calculations'!F22)&lt;2,"n.a.",IF(('Capital Calculations'!F22)&gt;0,('Income Statement'!F28)/('Capital Calculations'!F22),"n.a."))</x:f>
        <x:v>n.a.</x:v>
      </x:c>
      <x:c r="G17" s="37" t="str">
        <x:f>IF(COUNT('Income Statement'!G28,'Capital Calculations'!G22)&lt;2,"n.a.",IF(('Capital Calculations'!G22)&gt;0,('Income Statement'!G28)/('Capital Calculations'!G22),"n.a."))</x:f>
        <x:v>n.a.</x:v>
      </x:c>
      <x:c r="H17" s="37" t="str">
        <x:f>IF(COUNT('Income Statement'!H28,'Capital Calculations'!H22)&lt;2,"n.a.",IF(('Capital Calculations'!H22)&gt;0,('Income Statement'!H28)/('Capital Calculations'!H22),"n.a."))</x:f>
        <x:v>n.a.</x:v>
      </x:c>
      <x:c r="I17" s="37" t="str">
        <x:f>IF(COUNT('Income Statement'!I28,'Capital Calculations'!I22)&lt;2,"n.a.",IF(('Capital Calculations'!I22)&gt;0,('Income Statement'!I28)/('Capital Calculations'!I22),"n.a."))</x:f>
        <x:v>n.a.</x:v>
      </x:c>
      <x:c r="J17" s="2"/>
      <x:c r="K17" s="2" t="str">
        <x:v>Group net profit / average assets.</x:v>
      </x:c>
      <x:c r="L17" s="2"/>
      <x:c r="M17" s="2"/>
    </x:row>
    <x:row r="18" ht="23" customHeight="1">
      <x:c r="A18" s="1"/>
      <x:c r="B18" s="1"/>
      <x:c r="C18" s="20" t="str">
        <x:v>ROIC, cash-adjusted capital</x:v>
      </x:c>
      <x:c r="D18" s="21"/>
      <x:c r="E18" s="36" t="str">
        <x:f>IF(COUNT('Capital Calculations'!E18,'Capital Calculations'!E30)&lt;2,"n.a.",IF(('Capital Calculations'!E30)&gt;0,('Capital Calculations'!E18)/('Capital Calculations'!E30),"n.a."))</x:f>
        <x:v>n.a.</x:v>
      </x:c>
      <x:c r="F18" s="36" t="str">
        <x:f>IF(COUNT('Capital Calculations'!F18,'Capital Calculations'!F30)&lt;2,"n.a.",IF(('Capital Calculations'!F30)&gt;0,('Capital Calculations'!F18)/('Capital Calculations'!F30),"n.a."))</x:f>
        <x:v>n.a.</x:v>
      </x:c>
      <x:c r="G18" s="36" t="str">
        <x:f>IF(COUNT('Capital Calculations'!G18,'Capital Calculations'!G30)&lt;2,"n.a.",IF(('Capital Calculations'!G30)&gt;0,('Capital Calculations'!G18)/('Capital Calculations'!G30),"n.a."))</x:f>
        <x:v>n.a.</x:v>
      </x:c>
      <x:c r="H18" s="36" t="str">
        <x:f>IF(COUNT('Capital Calculations'!H18,'Capital Calculations'!H30)&lt;2,"n.a.",IF(('Capital Calculations'!H30)&gt;0,('Capital Calculations'!H18)/('Capital Calculations'!H30),"n.a."))</x:f>
        <x:v>n.a.</x:v>
      </x:c>
      <x:c r="I18" s="36" t="str">
        <x:f>IF(COUNT('Capital Calculations'!I18,'Capital Calculations'!I30)&lt;2,"n.a.",IF(('Capital Calculations'!I30)&gt;0,('Capital Calculations'!I18)/('Capital Calculations'!I30),"n.a."))</x:f>
        <x:v>n.a.</x:v>
      </x:c>
      <x:c r="J18" s="2"/>
      <x:c r="K18" s="2" t="str">
        <x:v>NOPAT / average cash-adjusted invested capital.</x:v>
      </x:c>
      <x:c r="L18" s="2"/>
      <x:c r="M18" s="2"/>
    </x:row>
    <x:row r="19" ht="23" customHeight="1">
      <x:c r="A19" s="1"/>
      <x:c r="B19" s="1"/>
      <x:c r="C19" s="20" t="str">
        <x:v>ROCE</x:v>
      </x:c>
      <x:c r="D19" s="21"/>
      <x:c r="E19" s="37" t="str">
        <x:f>IF(COUNT('Income Statement'!E16,'Capital Calculations'!E31)&lt;2,"n.a.",IF(('Capital Calculations'!E31)&gt;0,('Income Statement'!E16)/('Capital Calculations'!E31),"n.a."))</x:f>
        <x:v>n.a.</x:v>
      </x:c>
      <x:c r="F19" s="37" t="str">
        <x:f>IF(COUNT('Income Statement'!F16,'Capital Calculations'!F31)&lt;2,"n.a.",IF(('Capital Calculations'!F31)&gt;0,('Income Statement'!F16)/('Capital Calculations'!F31),"n.a."))</x:f>
        <x:v>n.a.</x:v>
      </x:c>
      <x:c r="G19" s="37" t="str">
        <x:f>IF(COUNT('Income Statement'!G16,'Capital Calculations'!G31)&lt;2,"n.a.",IF(('Capital Calculations'!G31)&gt;0,('Income Statement'!G16)/('Capital Calculations'!G31),"n.a."))</x:f>
        <x:v>n.a.</x:v>
      </x:c>
      <x:c r="H19" s="37" t="str">
        <x:f>IF(COUNT('Income Statement'!H16,'Capital Calculations'!H31)&lt;2,"n.a.",IF(('Capital Calculations'!H31)&gt;0,('Income Statement'!H16)/('Capital Calculations'!H31),"n.a."))</x:f>
        <x:v>n.a.</x:v>
      </x:c>
      <x:c r="I19" s="37" t="str">
        <x:f>IF(COUNT('Income Statement'!I16,'Capital Calculations'!I31)&lt;2,"n.a.",IF(('Capital Calculations'!I31)&gt;0,('Income Statement'!I16)/('Capital Calculations'!I31),"n.a."))</x:f>
        <x:v>n.a.</x:v>
      </x:c>
      <x:c r="J19" s="2"/>
      <x:c r="K19" s="2" t="str">
        <x:v>EBIT / average (assets − current liabilities).</x:v>
      </x:c>
      <x:c r="L19" s="2"/>
      <x:c r="M19" s="2"/>
    </x:row>
    <x:row r="20" ht="23" customHeight="1">
      <x:c r="A20" s="1"/>
      <x:c r="B20" s="1"/>
      <x:c r="C20" s="20" t="str">
        <x:v>Pre-tax ROE, closing equity</x:v>
      </x:c>
      <x:c r="D20" s="21"/>
      <x:c r="E20" s="36" t="str">
        <x:f>IF(COUNT('Income Statement'!E25,'Balance Sheet'!E52)&lt;2,"n.a.",IF(('Balance Sheet'!E52)&gt;0,('Income Statement'!E25)/('Balance Sheet'!E52),"n.a."))</x:f>
        <x:v>n.a.</x:v>
      </x:c>
      <x:c r="F20" s="36" t="str">
        <x:f>IF(COUNT('Income Statement'!F25,'Balance Sheet'!F52)&lt;2,"n.a.",IF(('Balance Sheet'!F52)&gt;0,('Income Statement'!F25)/('Balance Sheet'!F52),"n.a."))</x:f>
        <x:v>n.a.</x:v>
      </x:c>
      <x:c r="G20" s="36" t="str">
        <x:f>IF(COUNT('Income Statement'!G25,'Balance Sheet'!G52)&lt;2,"n.a.",IF(('Balance Sheet'!G52)&gt;0,('Income Statement'!G25)/('Balance Sheet'!G52),"n.a."))</x:f>
        <x:v>n.a.</x:v>
      </x:c>
      <x:c r="H20" s="36" t="str">
        <x:f>IF(COUNT('Income Statement'!H25,'Balance Sheet'!H52)&lt;2,"n.a.",IF(('Balance Sheet'!H52)&gt;0,('Income Statement'!H25)/('Balance Sheet'!H52),"n.a."))</x:f>
        <x:v>n.a.</x:v>
      </x:c>
      <x:c r="I20" s="36" t="str">
        <x:f>IF(COUNT('Income Statement'!I25,'Balance Sheet'!I52)&lt;2,"n.a.",IF(('Balance Sheet'!I52)&gt;0,('Income Statement'!I25)/('Balance Sheet'!I52),"n.a."))</x:f>
        <x:v>n.a.</x:v>
      </x:c>
      <x:c r="J20" s="2"/>
      <x:c r="K20" s="2" t="str">
        <x:v>Preserves the pre-tax textbook variant with explicit naming.</x:v>
      </x:c>
      <x:c r="L20" s="2"/>
      <x:c r="M20" s="2"/>
    </x:row>
    <x:row r="21" ht="23" customHeight="1">
      <x:c r="A21" s="1"/>
      <x:c r="B21" s="1"/>
      <x:c r="C21" s="20" t="str">
        <x:v>After-tax ROE, closing equity</x:v>
      </x:c>
      <x:c r="D21" s="21"/>
      <x:c r="E21" s="37" t="str">
        <x:f>IF(COUNT('Income Statement'!E28,'Balance Sheet'!E52)&lt;2,"n.a.",IF(('Balance Sheet'!E52)&gt;0,('Income Statement'!E28)/('Balance Sheet'!E52),"n.a."))</x:f>
        <x:v>n.a.</x:v>
      </x:c>
      <x:c r="F21" s="37" t="str">
        <x:f>IF(COUNT('Income Statement'!F28,'Balance Sheet'!F52)&lt;2,"n.a.",IF(('Balance Sheet'!F52)&gt;0,('Income Statement'!F28)/('Balance Sheet'!F52),"n.a."))</x:f>
        <x:v>n.a.</x:v>
      </x:c>
      <x:c r="G21" s="37" t="str">
        <x:f>IF(COUNT('Income Statement'!G28,'Balance Sheet'!G52)&lt;2,"n.a.",IF(('Balance Sheet'!G52)&gt;0,('Income Statement'!G28)/('Balance Sheet'!G52),"n.a."))</x:f>
        <x:v>n.a.</x:v>
      </x:c>
      <x:c r="H21" s="37" t="str">
        <x:f>IF(COUNT('Income Statement'!H28,'Balance Sheet'!H52)&lt;2,"n.a.",IF(('Balance Sheet'!H52)&gt;0,('Income Statement'!H28)/('Balance Sheet'!H52),"n.a."))</x:f>
        <x:v>n.a.</x:v>
      </x:c>
      <x:c r="I21" s="37" t="str">
        <x:f>IF(COUNT('Income Statement'!I28,'Balance Sheet'!I52)&lt;2,"n.a.",IF(('Balance Sheet'!I52)&gt;0,('Income Statement'!I28)/('Balance Sheet'!I52),"n.a."))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Pre-tax ROA, closing assets</x:v>
      </x:c>
      <x:c r="D22" s="21"/>
      <x:c r="E22" s="36" t="str">
        <x:f>IF(COUNT('Income Statement'!E25,'Balance Sheet'!E29)&lt;2,"n.a.",IF(('Balance Sheet'!E29)&gt;0,('Income Statement'!E25)/('Balance Sheet'!E29),"n.a."))</x:f>
        <x:v>n.a.</x:v>
      </x:c>
      <x:c r="F22" s="36" t="str">
        <x:f>IF(COUNT('Income Statement'!F25,'Balance Sheet'!F29)&lt;2,"n.a.",IF(('Balance Sheet'!F29)&gt;0,('Income Statement'!F25)/('Balance Sheet'!F29),"n.a."))</x:f>
        <x:v>n.a.</x:v>
      </x:c>
      <x:c r="G22" s="36" t="str">
        <x:f>IF(COUNT('Income Statement'!G25,'Balance Sheet'!G29)&lt;2,"n.a.",IF(('Balance Sheet'!G29)&gt;0,('Income Statement'!G25)/('Balance Sheet'!G29),"n.a."))</x:f>
        <x:v>n.a.</x:v>
      </x:c>
      <x:c r="H22" s="36" t="str">
        <x:f>IF(COUNT('Income Statement'!H25,'Balance Sheet'!H29)&lt;2,"n.a.",IF(('Balance Sheet'!H29)&gt;0,('Income Statement'!H25)/('Balance Sheet'!H29),"n.a."))</x:f>
        <x:v>n.a.</x:v>
      </x:c>
      <x:c r="I22" s="36" t="str">
        <x:f>IF(COUNT('Income Statement'!I25,'Balance Sheet'!I29)&lt;2,"n.a.",IF(('Balance Sheet'!I29)&gt;0,('Income Statement'!I25)/('Balance Sheet'!I29),"n.a."))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Pre-tax ROA, average assets</x:v>
      </x:c>
      <x:c r="D23" s="21"/>
      <x:c r="E23" s="37" t="str">
        <x:f>IF(COUNT('Income Statement'!E25,'Capital Calculations'!E22)&lt;2,"n.a.",IF(('Capital Calculations'!E22)&gt;0,('Income Statement'!E25)/('Capital Calculations'!E22),"n.a."))</x:f>
        <x:v>n.a.</x:v>
      </x:c>
      <x:c r="F23" s="37" t="str">
        <x:f>IF(COUNT('Income Statement'!F25,'Capital Calculations'!F22)&lt;2,"n.a.",IF(('Capital Calculations'!F22)&gt;0,('Income Statement'!F25)/('Capital Calculations'!F22),"n.a."))</x:f>
        <x:v>n.a.</x:v>
      </x:c>
      <x:c r="G23" s="37" t="str">
        <x:f>IF(COUNT('Income Statement'!G25,'Capital Calculations'!G22)&lt;2,"n.a.",IF(('Capital Calculations'!G22)&gt;0,('Income Statement'!G25)/('Capital Calculations'!G22),"n.a."))</x:f>
        <x:v>n.a.</x:v>
      </x:c>
      <x:c r="H23" s="37" t="str">
        <x:f>IF(COUNT('Income Statement'!H25,'Capital Calculations'!H22)&lt;2,"n.a.",IF(('Capital Calculations'!H22)&gt;0,('Income Statement'!H25)/('Capital Calculations'!H22),"n.a."))</x:f>
        <x:v>n.a.</x:v>
      </x:c>
      <x:c r="I23" s="37" t="str">
        <x:f>IF(COUNT('Income Statement'!I25,'Capital Calculations'!I22)&lt;2,"n.a.",IF(('Capital Calculations'!I22)&gt;0,('Income Statement'!I25)/('Capital Calculations'!I22),"n.a."))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0" t="str">
        <x:v>Pre-tax return on long-term capital</x:v>
      </x:c>
      <x:c r="D24" s="21"/>
      <x:c r="E24" s="36" t="str">
        <x:f>IF(COUNT('Income Statement'!E25,'Capital Calculations'!E13)&lt;2,"n.a.",IF(('Capital Calculations'!E13)&gt;0,('Income Statement'!E25)/('Capital Calculations'!E13),"n.a."))</x:f>
        <x:v>n.a.</x:v>
      </x:c>
      <x:c r="F24" s="36" t="str">
        <x:f>IF(COUNT('Income Statement'!F25,'Capital Calculations'!F13)&lt;2,"n.a.",IF(('Capital Calculations'!F13)&gt;0,('Income Statement'!F25)/('Capital Calculations'!F13),"n.a."))</x:f>
        <x:v>n.a.</x:v>
      </x:c>
      <x:c r="G24" s="36" t="str">
        <x:f>IF(COUNT('Income Statement'!G25,'Capital Calculations'!G13)&lt;2,"n.a.",IF(('Capital Calculations'!G13)&gt;0,('Income Statement'!G25)/('Capital Calculations'!G13),"n.a."))</x:f>
        <x:v>n.a.</x:v>
      </x:c>
      <x:c r="H24" s="36" t="str">
        <x:f>IF(COUNT('Income Statement'!H25,'Capital Calculations'!H13)&lt;2,"n.a.",IF(('Capital Calculations'!H13)&gt;0,('Income Statement'!H25)/('Capital Calculations'!H13),"n.a."))</x:f>
        <x:v>n.a.</x:v>
      </x:c>
      <x:c r="I24" s="36" t="str">
        <x:f>IF(COUNT('Income Statement'!I25,'Capital Calculations'!I13)&lt;2,"n.a.",IF(('Capital Calculations'!I13)&gt;0,('Income Statement'!I25)/('Capital Calculations'!I13),"n.a."))</x:f>
        <x:v>n.a.</x:v>
      </x:c>
      <x:c r="J24" s="2"/>
      <x:c r="K24" s="2" t="str">
        <x:v>Capital employed equals equity + non-current liabilities when the balance sheet reconciles.</x:v>
      </x:c>
      <x:c r="L24" s="2"/>
      <x:c r="M24" s="2"/>
    </x:row>
    <x:row r="25" ht="23" customHeight="1">
      <x:c r="A25" s="1"/>
      <x:c r="B25" s="1"/>
      <x:c r="C25" s="20" t="str">
        <x:v>ROIC less WACC</x:v>
      </x:c>
      <x:c r="D25" s="21"/>
      <x:c r="E25" s="37" t="str">
        <x:f>IF(COUNT('Profitability'!E18,'Market Inputs'!E18)&lt;2,"n.a.",IF(TRUE,'Profitability'!E18-'Market Inputs'!E18,"n.a."))</x:f>
        <x:v>n.a.</x:v>
      </x:c>
      <x:c r="F25" s="37" t="str">
        <x:f>IF(COUNT('Profitability'!F18,'Market Inputs'!F18)&lt;2,"n.a.",IF(TRUE,'Profitability'!F18-'Market Inputs'!F18,"n.a."))</x:f>
        <x:v>n.a.</x:v>
      </x:c>
      <x:c r="G25" s="37" t="str">
        <x:f>IF(COUNT('Profitability'!G18,'Market Inputs'!G18)&lt;2,"n.a.",IF(TRUE,'Profitability'!G18-'Market Inputs'!G18,"n.a."))</x:f>
        <x:v>n.a.</x:v>
      </x:c>
      <x:c r="H25" s="37" t="str">
        <x:f>IF(COUNT('Profitability'!H18,'Market Inputs'!H18)&lt;2,"n.a.",IF(TRUE,'Profitability'!H18-'Market Inputs'!H18,"n.a."))</x:f>
        <x:v>n.a.</x:v>
      </x:c>
      <x:c r="I25" s="37" t="str">
        <x:f>IF(COUNT('Profitability'!I18,'Market Inputs'!I18)&lt;2,"n.a.",IF(TRUE,'Profitability'!I18-'Market Inputs'!I18,"n.a."))</x:f>
        <x:v>n.a.</x:v>
      </x:c>
      <x:c r="J25" s="2"/>
      <x:c r="K25" s="2" t="str">
        <x:v>Positive spread indicates return above the assumed capital cost.</x:v>
      </x:c>
      <x:c r="L25" s="2"/>
      <x:c r="M25" s="2"/>
    </x:row>
    <x:row r="26" ht="23" customHeight="1">
      <x:c r="A26" s="1"/>
      <x:c r="B26" s="1"/>
      <x:c r="C26" s="2" t="str">
        <x:v>Economic profit</x:v>
      </x:c>
      <x:c r="D26" s="15"/>
      <x:c r="E26" s="39" t="str">
        <x:f>IF(COUNT('Capital Calculations'!E18,'Market Inputs'!E18,'Capital Calculations'!E30)&lt;3,"n.a.",IF(TRUE,'Capital Calculations'!E18-'Market Inputs'!E18*'Capital Calculations'!E30,"n.a."))</x:f>
        <x:v>n.a.</x:v>
      </x:c>
      <x:c r="F26" s="39" t="str">
        <x:f>IF(COUNT('Capital Calculations'!F18,'Market Inputs'!F18,'Capital Calculations'!F30)&lt;3,"n.a.",IF(TRUE,'Capital Calculations'!F18-'Market Inputs'!F18*'Capital Calculations'!F30,"n.a."))</x:f>
        <x:v>n.a.</x:v>
      </x:c>
      <x:c r="G26" s="39" t="str">
        <x:f>IF(COUNT('Capital Calculations'!G18,'Market Inputs'!G18,'Capital Calculations'!G30)&lt;3,"n.a.",IF(TRUE,'Capital Calculations'!G18-'Market Inputs'!G18*'Capital Calculations'!G30,"n.a."))</x:f>
        <x:v>n.a.</x:v>
      </x:c>
      <x:c r="H26" s="39" t="str">
        <x:f>IF(COUNT('Capital Calculations'!H18,'Market Inputs'!H18,'Capital Calculations'!H30)&lt;3,"n.a.",IF(TRUE,'Capital Calculations'!H18-'Market Inputs'!H18*'Capital Calculations'!H30,"n.a."))</x:f>
        <x:v>n.a.</x:v>
      </x:c>
      <x:c r="I26" s="39" t="str">
        <x:f>IF(COUNT('Capital Calculations'!I18,'Market Inputs'!I18,'Capital Calculations'!I30)&lt;3,"n.a.",IF(TRUE,'Capital Calculations'!I18-'Market Inputs'!I18*'Capital Calculations'!I30,"n.a."))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20" t="str">
        <x:v>Long-term return / pre-tax ROE</x:v>
      </x:c>
      <x:c r="D27" s="26"/>
      <x:c r="E27" s="41" t="str">
        <x:f>IF(COUNT('Profitability'!E24,'Profitability'!E20)&lt;2,"n.a.",IF('Profitability'!E20&lt;&gt;0,('Profitability'!E24)/('Profitability'!E20),"n.a."))</x:f>
        <x:v>n.a.</x:v>
      </x:c>
      <x:c r="F27" s="41" t="str">
        <x:f>IF(COUNT('Profitability'!F24,'Profitability'!F20)&lt;2,"n.a.",IF('Profitability'!F20&lt;&gt;0,('Profitability'!F24)/('Profitability'!F20),"n.a."))</x:f>
        <x:v>n.a.</x:v>
      </x:c>
      <x:c r="G27" s="41" t="str">
        <x:f>IF(COUNT('Profitability'!G24,'Profitability'!G20)&lt;2,"n.a.",IF('Profitability'!G20&lt;&gt;0,('Profitability'!G24)/('Profitability'!G20),"n.a."))</x:f>
        <x:v>n.a.</x:v>
      </x:c>
      <x:c r="H27" s="41" t="str">
        <x:f>IF(COUNT('Profitability'!H24,'Profitability'!H20)&lt;2,"n.a.",IF('Profitability'!H20&lt;&gt;0,('Profitability'!H24)/('Profitability'!H20),"n.a."))</x:f>
        <x:v>n.a.</x:v>
      </x:c>
      <x:c r="I27" s="41" t="str">
        <x:f>IF(COUNT('Profitability'!I24,'Profitability'!I20)&lt;2,"n.a.",IF('Profitability'!I20&lt;&gt;0,('Profitability'!I24)/('Profitability'!I20),"n.a."))</x:f>
        <x:v>n.a.</x:v>
      </x:c>
      <x:c r="J27" s="2"/>
      <x:c r="K27" s="2" t="str">
        <x:v>Legacy textbook variant; separate from the equity multiplier.</x:v>
      </x:c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3" customHeight="1">
      <x:c r="A29" s="1"/>
      <x:c r="B29" s="1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3" customHeight="1">
      <x:c r="A30" s="1"/>
      <x:c r="B30" s="1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Liquidity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Ability to meet short-term obligations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0" t="str">
        <x:v>Current ratio</x:v>
      </x:c>
      <x:c r="D7" s="26"/>
      <x:c r="E7" s="41" t="str">
        <x:f>IF(COUNT('Balance Sheet'!E17,'Balance Sheet'!E37)&lt;2,"n.a.",IF(('Balance Sheet'!E37)&gt;0,('Balance Sheet'!E17)/('Balance Sheet'!E37),"n.a."))</x:f>
        <x:v>n.a.</x:v>
      </x:c>
      <x:c r="F7" s="41" t="str">
        <x:f>IF(COUNT('Balance Sheet'!F17,'Balance Sheet'!F37)&lt;2,"n.a.",IF(('Balance Sheet'!F37)&gt;0,('Balance Sheet'!F17)/('Balance Sheet'!F37),"n.a."))</x:f>
        <x:v>n.a.</x:v>
      </x:c>
      <x:c r="G7" s="41" t="str">
        <x:f>IF(COUNT('Balance Sheet'!G17,'Balance Sheet'!G37)&lt;2,"n.a.",IF(('Balance Sheet'!G37)&gt;0,('Balance Sheet'!G17)/('Balance Sheet'!G37),"n.a."))</x:f>
        <x:v>n.a.</x:v>
      </x:c>
      <x:c r="H7" s="41" t="str">
        <x:f>IF(COUNT('Balance Sheet'!H17,'Balance Sheet'!H37)&lt;2,"n.a.",IF(('Balance Sheet'!H37)&gt;0,('Balance Sheet'!H17)/('Balance Sheet'!H37),"n.a."))</x:f>
        <x:v>n.a.</x:v>
      </x:c>
      <x:c r="I7" s="41" t="str">
        <x:f>IF(COUNT('Balance Sheet'!I17,'Balance Sheet'!I37)&lt;2,"n.a.",IF(('Balance Sheet'!I37)&gt;0,('Balance Sheet'!I17)/('Balance Sheet'!I37),"n.a."))</x:f>
        <x:v>n.a.</x:v>
      </x:c>
      <x:c r="J7" s="2"/>
      <x:c r="K7" s="2"/>
      <x:c r="L7" s="2"/>
      <x:c r="M7" s="2"/>
    </x:row>
    <x:row r="8" ht="23" customHeight="1">
      <x:c r="A8" s="1"/>
      <x:c r="B8" s="1"/>
      <x:c r="C8" s="20" t="str">
        <x:v>Quick ratio, liquid assets basis</x:v>
      </x:c>
      <x:c r="D8" s="26"/>
      <x:c r="E8" s="42" t="str">
        <x:f>IF(COUNT('Balance Sheet'!E8,'Balance Sheet'!E9,'Balance Sheet'!E10,'Balance Sheet'!E37)&lt;4,"n.a.",IF(('Balance Sheet'!E37)&gt;0,('Balance Sheet'!E8+'Balance Sheet'!E9+'Balance Sheet'!E10)/('Balance Sheet'!E37),"n.a."))</x:f>
        <x:v>n.a.</x:v>
      </x:c>
      <x:c r="F8" s="42" t="str">
        <x:f>IF(COUNT('Balance Sheet'!F8,'Balance Sheet'!F9,'Balance Sheet'!F10,'Balance Sheet'!F37)&lt;4,"n.a.",IF(('Balance Sheet'!F37)&gt;0,('Balance Sheet'!F8+'Balance Sheet'!F9+'Balance Sheet'!F10)/('Balance Sheet'!F37),"n.a."))</x:f>
        <x:v>n.a.</x:v>
      </x:c>
      <x:c r="G8" s="42" t="str">
        <x:f>IF(COUNT('Balance Sheet'!G8,'Balance Sheet'!G9,'Balance Sheet'!G10,'Balance Sheet'!G37)&lt;4,"n.a.",IF(('Balance Sheet'!G37)&gt;0,('Balance Sheet'!G8+'Balance Sheet'!G9+'Balance Sheet'!G10)/('Balance Sheet'!G37),"n.a."))</x:f>
        <x:v>n.a.</x:v>
      </x:c>
      <x:c r="H8" s="42" t="str">
        <x:f>IF(COUNT('Balance Sheet'!H8,'Balance Sheet'!H9,'Balance Sheet'!H10,'Balance Sheet'!H37)&lt;4,"n.a.",IF(('Balance Sheet'!H37)&gt;0,('Balance Sheet'!H8+'Balance Sheet'!H9+'Balance Sheet'!H10)/('Balance Sheet'!H37),"n.a."))</x:f>
        <x:v>n.a.</x:v>
      </x:c>
      <x:c r="I8" s="42" t="str">
        <x:f>IF(COUNT('Balance Sheet'!I8,'Balance Sheet'!I9,'Balance Sheet'!I10,'Balance Sheet'!I37)&lt;4,"n.a.",IF(('Balance Sheet'!I37)&gt;0,('Balance Sheet'!I8+'Balance Sheet'!I9+'Balance Sheet'!I10)/('Balance Sheet'!I37),"n.a."))</x:f>
        <x:v>n.a.</x:v>
      </x:c>
      <x:c r="J8" s="2"/>
      <x:c r="K8" s="2" t="str">
        <x:v>Cash + liquid investments + trade receivables, divided by current liabilities.</x:v>
      </x:c>
      <x:c r="L8" s="2"/>
      <x:c r="M8" s="2"/>
    </x:row>
    <x:row r="9" ht="23" customHeight="1">
      <x:c r="A9" s="1"/>
      <x:c r="B9" s="1"/>
      <x:c r="C9" s="20" t="str">
        <x:v>Quick ratio, inventory exclusion variant</x:v>
      </x:c>
      <x:c r="D9" s="26"/>
      <x:c r="E9" s="41" t="str">
        <x:f>IF(COUNT('Balance Sheet'!E17,'Balance Sheet'!E11,'Balance Sheet'!E37)&lt;3,"n.a.",IF(('Balance Sheet'!E37)&gt;0,('Balance Sheet'!E17-'Balance Sheet'!E11)/('Balance Sheet'!E37),"n.a."))</x:f>
        <x:v>n.a.</x:v>
      </x:c>
      <x:c r="F9" s="41" t="str">
        <x:f>IF(COUNT('Balance Sheet'!F17,'Balance Sheet'!F11,'Balance Sheet'!F37)&lt;3,"n.a.",IF(('Balance Sheet'!F37)&gt;0,('Balance Sheet'!F17-'Balance Sheet'!F11)/('Balance Sheet'!F37),"n.a."))</x:f>
        <x:v>n.a.</x:v>
      </x:c>
      <x:c r="G9" s="41" t="str">
        <x:f>IF(COUNT('Balance Sheet'!G17,'Balance Sheet'!G11,'Balance Sheet'!G37)&lt;3,"n.a.",IF(('Balance Sheet'!G37)&gt;0,('Balance Sheet'!G17-'Balance Sheet'!G11)/('Balance Sheet'!G37),"n.a."))</x:f>
        <x:v>n.a.</x:v>
      </x:c>
      <x:c r="H9" s="41" t="str">
        <x:f>IF(COUNT('Balance Sheet'!H17,'Balance Sheet'!H11,'Balance Sheet'!H37)&lt;3,"n.a.",IF(('Balance Sheet'!H37)&gt;0,('Balance Sheet'!H17-'Balance Sheet'!H11)/('Balance Sheet'!H37),"n.a."))</x:f>
        <x:v>n.a.</x:v>
      </x:c>
      <x:c r="I9" s="41" t="str">
        <x:f>IF(COUNT('Balance Sheet'!I17,'Balance Sheet'!I11,'Balance Sheet'!I37)&lt;3,"n.a.",IF(('Balance Sheet'!I37)&gt;0,('Balance Sheet'!I17-'Balance Sheet'!I11)/('Balance Sheet'!I37),"n.a."))</x:f>
        <x:v>n.a.</x:v>
      </x:c>
      <x:c r="J9" s="2"/>
      <x:c r="K9" s="2" t="str">
        <x:v>Textbook variant may include prepayments and other less liquid assets.</x:v>
      </x:c>
      <x:c r="L9" s="2"/>
      <x:c r="M9" s="2"/>
    </x:row>
    <x:row r="10" ht="23" customHeight="1">
      <x:c r="A10" s="1"/>
      <x:c r="B10" s="1"/>
      <x:c r="C10" s="20" t="str">
        <x:v>Cash ratio including liquid investments</x:v>
      </x:c>
      <x:c r="D10" s="26"/>
      <x:c r="E10" s="42" t="str">
        <x:f>IF(COUNT('Balance Sheet'!E8,'Balance Sheet'!E9,'Balance Sheet'!E37)&lt;3,"n.a.",IF(('Balance Sheet'!E37)&gt;0,('Balance Sheet'!E8+'Balance Sheet'!E9)/('Balance Sheet'!E37),"n.a."))</x:f>
        <x:v>n.a.</x:v>
      </x:c>
      <x:c r="F10" s="42" t="str">
        <x:f>IF(COUNT('Balance Sheet'!F8,'Balance Sheet'!F9,'Balance Sheet'!F37)&lt;3,"n.a.",IF(('Balance Sheet'!F37)&gt;0,('Balance Sheet'!F8+'Balance Sheet'!F9)/('Balance Sheet'!F37),"n.a."))</x:f>
        <x:v>n.a.</x:v>
      </x:c>
      <x:c r="G10" s="42" t="str">
        <x:f>IF(COUNT('Balance Sheet'!G8,'Balance Sheet'!G9,'Balance Sheet'!G37)&lt;3,"n.a.",IF(('Balance Sheet'!G37)&gt;0,('Balance Sheet'!G8+'Balance Sheet'!G9)/('Balance Sheet'!G37),"n.a."))</x:f>
        <x:v>n.a.</x:v>
      </x:c>
      <x:c r="H10" s="42" t="str">
        <x:f>IF(COUNT('Balance Sheet'!H8,'Balance Sheet'!H9,'Balance Sheet'!H37)&lt;3,"n.a.",IF(('Balance Sheet'!H37)&gt;0,('Balance Sheet'!H8+'Balance Sheet'!H9)/('Balance Sheet'!H37),"n.a."))</x:f>
        <x:v>n.a.</x:v>
      </x:c>
      <x:c r="I10" s="42" t="str">
        <x:f>IF(COUNT('Balance Sheet'!I8,'Balance Sheet'!I9,'Balance Sheet'!I37)&lt;3,"n.a.",IF(('Balance Sheet'!I37)&gt;0,('Balance Sheet'!I8+'Balance Sheet'!I9)/('Balance Sheet'!I37),"n.a."))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Cash-only ratio</x:v>
      </x:c>
      <x:c r="D11" s="26"/>
      <x:c r="E11" s="41" t="str">
        <x:f>IF(COUNT('Balance Sheet'!E8,'Balance Sheet'!E37)&lt;2,"n.a.",IF(('Balance Sheet'!E37)&gt;0,('Balance Sheet'!E8)/('Balance Sheet'!E37),"n.a."))</x:f>
        <x:v>n.a.</x:v>
      </x:c>
      <x:c r="F11" s="41" t="str">
        <x:f>IF(COUNT('Balance Sheet'!F8,'Balance Sheet'!F37)&lt;2,"n.a.",IF(('Balance Sheet'!F37)&gt;0,('Balance Sheet'!F8)/('Balance Sheet'!F37),"n.a."))</x:f>
        <x:v>n.a.</x:v>
      </x:c>
      <x:c r="G11" s="41" t="str">
        <x:f>IF(COUNT('Balance Sheet'!G8,'Balance Sheet'!G37)&lt;2,"n.a.",IF(('Balance Sheet'!G37)&gt;0,('Balance Sheet'!G8)/('Balance Sheet'!G37),"n.a."))</x:f>
        <x:v>n.a.</x:v>
      </x:c>
      <x:c r="H11" s="41" t="str">
        <x:f>IF(COUNT('Balance Sheet'!H8,'Balance Sheet'!H37)&lt;2,"n.a.",IF(('Balance Sheet'!H37)&gt;0,('Balance Sheet'!H8)/('Balance Sheet'!H37),"n.a."))</x:f>
        <x:v>n.a.</x:v>
      </x:c>
      <x:c r="I11" s="41" t="str">
        <x:f>IF(COUNT('Balance Sheet'!I8,'Balance Sheet'!I37)&lt;2,"n.a.",IF(('Balance Sheet'!I37)&gt;0,('Balance Sheet'!I8)/('Balance Sheet'!I37),"n.a."))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Cash / past-due liabilities</x:v>
      </x:c>
      <x:c r="D12" s="26"/>
      <x:c r="E12" s="42" t="str">
        <x:f>IF(COUNT('Balance Sheet'!E8,'Balance Sheet'!E54)&lt;2,"n.a.",IF(('Balance Sheet'!E54)&gt;0,('Balance Sheet'!E8)/('Balance Sheet'!E54),"n.a."))</x:f>
        <x:v>n.a.</x:v>
      </x:c>
      <x:c r="F12" s="42" t="str">
        <x:f>IF(COUNT('Balance Sheet'!F8,'Balance Sheet'!F54)&lt;2,"n.a.",IF(('Balance Sheet'!F54)&gt;0,('Balance Sheet'!F8)/('Balance Sheet'!F54),"n.a."))</x:f>
        <x:v>n.a.</x:v>
      </x:c>
      <x:c r="G12" s="42" t="str">
        <x:f>IF(COUNT('Balance Sheet'!G8,'Balance Sheet'!G54)&lt;2,"n.a.",IF(('Balance Sheet'!G54)&gt;0,('Balance Sheet'!G8)/('Balance Sheet'!G54),"n.a."))</x:f>
        <x:v>n.a.</x:v>
      </x:c>
      <x:c r="H12" s="42" t="str">
        <x:f>IF(COUNT('Balance Sheet'!H8,'Balance Sheet'!H54)&lt;2,"n.a.",IF(('Balance Sheet'!H54)&gt;0,('Balance Sheet'!H8)/('Balance Sheet'!H54),"n.a."))</x:f>
        <x:v>n.a.</x:v>
      </x:c>
      <x:c r="I12" s="42" t="str">
        <x:f>IF(COUNT('Balance Sheet'!I8,'Balance Sheet'!I54)&lt;2,"n.a.",IF(('Balance Sheet'!I54)&gt;0,('Balance Sheet'!I8)/('Balance Sheet'!I54),"n.a."))</x:f>
        <x:v>n.a.</x:v>
      </x:c>
      <x:c r="J12" s="2"/>
      <x:c r="K12" s="2" t="str">
        <x:v>Optional; requires separately disclosed overdue liabilities.</x:v>
      </x:c>
      <x:c r="L12" s="2"/>
      <x:c r="M12" s="2"/>
    </x:row>
    <x:row r="13" ht="23" customHeight="1">
      <x:c r="A13" s="1"/>
      <x:c r="B13" s="1"/>
      <x:c r="C13" s="2" t="str">
        <x:v>Working capital</x:v>
      </x:c>
      <x:c r="D13" s="15"/>
      <x:c r="E13" s="43" t="str">
        <x:f>IF(COUNT('Capital Calculations'!E10)&lt;1,"n.a.",IF(TRUE,'Capital Calculations'!E10,"n.a."))</x:f>
        <x:v>n.a.</x:v>
      </x:c>
      <x:c r="F13" s="43" t="str">
        <x:f>IF(COUNT('Capital Calculations'!F10)&lt;1,"n.a.",IF(TRUE,'Capital Calculations'!F10,"n.a."))</x:f>
        <x:v>n.a.</x:v>
      </x:c>
      <x:c r="G13" s="43" t="str">
        <x:f>IF(COUNT('Capital Calculations'!G10)&lt;1,"n.a.",IF(TRUE,'Capital Calculations'!G10,"n.a."))</x:f>
        <x:v>n.a.</x:v>
      </x:c>
      <x:c r="H13" s="43" t="str">
        <x:f>IF(COUNT('Capital Calculations'!H10)&lt;1,"n.a.",IF(TRUE,'Capital Calculations'!H10,"n.a."))</x:f>
        <x:v>n.a.</x:v>
      </x:c>
      <x:c r="I13" s="43" t="str">
        <x:f>IF(COUNT('Capital Calculations'!I10)&lt;1,"n.a.",IF(TRUE,'Capital Calculations'!I10,"n.a."))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" t="str">
        <x:v>Working capital, long-term funding method</x:v>
      </x:c>
      <x:c r="D14" s="15"/>
      <x:c r="E14" s="39" t="str">
        <x:f>IF(COUNT('Balance Sheet'!E52,'Balance Sheet'!E44,'Balance Sheet'!E28)&lt;3,"n.a.",IF(TRUE,'Balance Sheet'!E52+'Balance Sheet'!E44-'Balance Sheet'!E28,"n.a."))</x:f>
        <x:v>n.a.</x:v>
      </x:c>
      <x:c r="F14" s="39" t="str">
        <x:f>IF(COUNT('Balance Sheet'!F52,'Balance Sheet'!F44,'Balance Sheet'!F28)&lt;3,"n.a.",IF(TRUE,'Balance Sheet'!F52+'Balance Sheet'!F44-'Balance Sheet'!F28,"n.a."))</x:f>
        <x:v>n.a.</x:v>
      </x:c>
      <x:c r="G14" s="39" t="str">
        <x:f>IF(COUNT('Balance Sheet'!G52,'Balance Sheet'!G44,'Balance Sheet'!G28)&lt;3,"n.a.",IF(TRUE,'Balance Sheet'!G52+'Balance Sheet'!G44-'Balance Sheet'!G28,"n.a."))</x:f>
        <x:v>n.a.</x:v>
      </x:c>
      <x:c r="H14" s="39" t="str">
        <x:f>IF(COUNT('Balance Sheet'!H52,'Balance Sheet'!H44,'Balance Sheet'!H28)&lt;3,"n.a.",IF(TRUE,'Balance Sheet'!H52+'Balance Sheet'!H44-'Balance Sheet'!H28,"n.a."))</x:f>
        <x:v>n.a.</x:v>
      </x:c>
      <x:c r="I14" s="39" t="str">
        <x:f>IF(COUNT('Balance Sheet'!I52,'Balance Sheet'!I44,'Balance Sheet'!I28)&lt;3,"n.a.",IF(TRUE,'Balance Sheet'!I52+'Balance Sheet'!I44-'Balance Sheet'!I28,"n.a."))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0" t="str">
        <x:v>Operating cash flow / current liabilities</x:v>
      </x:c>
      <x:c r="D15" s="26"/>
      <x:c r="E15" s="41" t="str">
        <x:f>IF(COUNT('Cash Flow Statement'!E18,'Balance Sheet'!E37)&lt;2,"n.a.",IF(('Balance Sheet'!E37)&gt;0,('Cash Flow Statement'!E18)/('Balance Sheet'!E37),"n.a."))</x:f>
        <x:v>n.a.</x:v>
      </x:c>
      <x:c r="F15" s="41" t="str">
        <x:f>IF(COUNT('Cash Flow Statement'!F18,'Balance Sheet'!F37)&lt;2,"n.a.",IF(('Balance Sheet'!F37)&gt;0,('Cash Flow Statement'!F18)/('Balance Sheet'!F37),"n.a."))</x:f>
        <x:v>n.a.</x:v>
      </x:c>
      <x:c r="G15" s="41" t="str">
        <x:f>IF(COUNT('Cash Flow Statement'!G18,'Balance Sheet'!G37)&lt;2,"n.a.",IF(('Balance Sheet'!G37)&gt;0,('Cash Flow Statement'!G18)/('Balance Sheet'!G37),"n.a."))</x:f>
        <x:v>n.a.</x:v>
      </x:c>
      <x:c r="H15" s="41" t="str">
        <x:f>IF(COUNT('Cash Flow Statement'!H18,'Balance Sheet'!H37)&lt;2,"n.a.",IF(('Balance Sheet'!H37)&gt;0,('Cash Flow Statement'!H18)/('Balance Sheet'!H37),"n.a."))</x:f>
        <x:v>n.a.</x:v>
      </x:c>
      <x:c r="I15" s="41" t="str">
        <x:f>IF(COUNT('Cash Flow Statement'!I18,'Balance Sheet'!I37)&lt;2,"n.a.",IF(('Balance Sheet'!I37)&gt;0,('Cash Flow Statement'!I18)/('Balance Sheet'!I37),"n.a."))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Efficiency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Asset use and the operating cycle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0" t="str">
        <x:v>Inventory turnover, average</x:v>
      </x:c>
      <x:c r="D7" s="26"/>
      <x:c r="E7" s="41" t="str">
        <x:f>IF(COUNT('Income Statement'!E9,'Capital Calculations'!E25)&lt;2,"n.a.",IF(('Capital Calculations'!E25)&gt;0,('Income Statement'!E9)/('Capital Calculations'!E25),"n.a."))</x:f>
        <x:v>n.a.</x:v>
      </x:c>
      <x:c r="F7" s="41" t="str">
        <x:f>IF(COUNT('Income Statement'!F9,'Capital Calculations'!F25)&lt;2,"n.a.",IF(('Capital Calculations'!F25)&gt;0,('Income Statement'!F9)/('Capital Calculations'!F25),"n.a."))</x:f>
        <x:v>n.a.</x:v>
      </x:c>
      <x:c r="G7" s="41" t="str">
        <x:f>IF(COUNT('Income Statement'!G9,'Capital Calculations'!G25)&lt;2,"n.a.",IF(('Capital Calculations'!G25)&gt;0,('Income Statement'!G9)/('Capital Calculations'!G25),"n.a."))</x:f>
        <x:v>n.a.</x:v>
      </x:c>
      <x:c r="H7" s="41" t="str">
        <x:f>IF(COUNT('Income Statement'!H9,'Capital Calculations'!H25)&lt;2,"n.a.",IF(('Capital Calculations'!H25)&gt;0,('Income Statement'!H9)/('Capital Calculations'!H25),"n.a."))</x:f>
        <x:v>n.a.</x:v>
      </x:c>
      <x:c r="I7" s="41" t="str">
        <x:f>IF(COUNT('Income Statement'!I9,'Capital Calculations'!I25)&lt;2,"n.a.",IF(('Capital Calculations'!I25)&gt;0,('Income Statement'!I9)/('Capital Calculations'!I25),"n.a."))</x:f>
        <x:v>n.a.</x:v>
      </x:c>
      <x:c r="J7" s="2"/>
      <x:c r="K7" s="2"/>
      <x:c r="L7" s="2"/>
      <x:c r="M7" s="2"/>
    </x:row>
    <x:row r="8" ht="23" customHeight="1">
      <x:c r="A8" s="1"/>
      <x:c r="B8" s="1"/>
      <x:c r="C8" s="2" t="str">
        <x:v>Inventory days, average</x:v>
      </x:c>
      <x:c r="D8" s="15"/>
      <x:c r="E8" s="39" t="str">
        <x:f>IF(COUNT('Setup'!$E$13,'Capital Calculations'!E25,'Income Statement'!E9)&lt;3,"n.a.",IF(('Income Statement'!E9)&gt;0,('Setup'!$E$13*'Capital Calculations'!E25)/('Income Statement'!E9),"n.a."))</x:f>
        <x:v>n.a.</x:v>
      </x:c>
      <x:c r="F8" s="39" t="str">
        <x:f>IF(COUNT('Setup'!$E$13,'Capital Calculations'!F25,'Income Statement'!F9)&lt;3,"n.a.",IF(('Income Statement'!F9)&gt;0,('Setup'!$E$13*'Capital Calculations'!F25)/('Income Statement'!F9),"n.a."))</x:f>
        <x:v>n.a.</x:v>
      </x:c>
      <x:c r="G8" s="39" t="str">
        <x:f>IF(COUNT('Setup'!$E$13,'Capital Calculations'!G25,'Income Statement'!G9)&lt;3,"n.a.",IF(('Income Statement'!G9)&gt;0,('Setup'!$E$13*'Capital Calculations'!G25)/('Income Statement'!G9),"n.a."))</x:f>
        <x:v>n.a.</x:v>
      </x:c>
      <x:c r="H8" s="39" t="str">
        <x:f>IF(COUNT('Setup'!$E$13,'Capital Calculations'!H25,'Income Statement'!H9)&lt;3,"n.a.",IF(('Income Statement'!H9)&gt;0,('Setup'!$E$13*'Capital Calculations'!H25)/('Income Statement'!H9),"n.a."))</x:f>
        <x:v>n.a.</x:v>
      </x:c>
      <x:c r="I8" s="39" t="str">
        <x:f>IF(COUNT('Setup'!$E$13,'Capital Calculations'!I25,'Income Statement'!I9)&lt;3,"n.a.",IF(('Income Statement'!I9)&gt;0,('Setup'!$E$13*'Capital Calculations'!I25)/('Income Statement'!I9),"n.a."))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Inventory turnover, closing</x:v>
      </x:c>
      <x:c r="D9" s="26"/>
      <x:c r="E9" s="41" t="str">
        <x:f>IF(COUNT('Income Statement'!E9,'Balance Sheet'!E11)&lt;2,"n.a.",IF(('Balance Sheet'!E11)&gt;0,('Income Statement'!E9)/('Balance Sheet'!E11),"n.a."))</x:f>
        <x:v>n.a.</x:v>
      </x:c>
      <x:c r="F9" s="41" t="str">
        <x:f>IF(COUNT('Income Statement'!F9,'Balance Sheet'!F11)&lt;2,"n.a.",IF(('Balance Sheet'!F11)&gt;0,('Income Statement'!F9)/('Balance Sheet'!F11),"n.a."))</x:f>
        <x:v>n.a.</x:v>
      </x:c>
      <x:c r="G9" s="41" t="str">
        <x:f>IF(COUNT('Income Statement'!G9,'Balance Sheet'!G11)&lt;2,"n.a.",IF(('Balance Sheet'!G11)&gt;0,('Income Statement'!G9)/('Balance Sheet'!G11),"n.a."))</x:f>
        <x:v>n.a.</x:v>
      </x:c>
      <x:c r="H9" s="41" t="str">
        <x:f>IF(COUNT('Income Statement'!H9,'Balance Sheet'!H11)&lt;2,"n.a.",IF(('Balance Sheet'!H11)&gt;0,('Income Statement'!H9)/('Balance Sheet'!H11),"n.a."))</x:f>
        <x:v>n.a.</x:v>
      </x:c>
      <x:c r="I9" s="41" t="str">
        <x:f>IF(COUNT('Income Statement'!I9,'Balance Sheet'!I11)&lt;2,"n.a.",IF(('Balance Sheet'!I11)&gt;0,('Income Statement'!I9)/('Balance Sheet'!I11),"n.a."))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" t="str">
        <x:v>Inventory days, closing</x:v>
      </x:c>
      <x:c r="D10" s="15"/>
      <x:c r="E10" s="39" t="str">
        <x:f>IF(COUNT('Setup'!$E$13,'Balance Sheet'!E11,'Income Statement'!E9)&lt;3,"n.a.",IF(('Income Statement'!E9)&gt;0,('Setup'!$E$13*'Balance Sheet'!E11)/('Income Statement'!E9),"n.a."))</x:f>
        <x:v>n.a.</x:v>
      </x:c>
      <x:c r="F10" s="39" t="str">
        <x:f>IF(COUNT('Setup'!$E$13,'Balance Sheet'!F11,'Income Statement'!F9)&lt;3,"n.a.",IF(('Income Statement'!F9)&gt;0,('Setup'!$E$13*'Balance Sheet'!F11)/('Income Statement'!F9),"n.a."))</x:f>
        <x:v>n.a.</x:v>
      </x:c>
      <x:c r="G10" s="39" t="str">
        <x:f>IF(COUNT('Setup'!$E$13,'Balance Sheet'!G11,'Income Statement'!G9)&lt;3,"n.a.",IF(('Income Statement'!G9)&gt;0,('Setup'!$E$13*'Balance Sheet'!G11)/('Income Statement'!G9),"n.a."))</x:f>
        <x:v>n.a.</x:v>
      </x:c>
      <x:c r="H10" s="39" t="str">
        <x:f>IF(COUNT('Setup'!$E$13,'Balance Sheet'!H11,'Income Statement'!H9)&lt;3,"n.a.",IF(('Income Statement'!H9)&gt;0,('Setup'!$E$13*'Balance Sheet'!H11)/('Income Statement'!H9),"n.a."))</x:f>
        <x:v>n.a.</x:v>
      </x:c>
      <x:c r="I10" s="39" t="str">
        <x:f>IF(COUNT('Setup'!$E$13,'Balance Sheet'!I11,'Income Statement'!I9)&lt;3,"n.a.",IF(('Income Statement'!I9)&gt;0,('Setup'!$E$13*'Balance Sheet'!I11)/('Income Statement'!I9),"n.a."))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Receivables turnover, total-sales basis</x:v>
      </x:c>
      <x:c r="D11" s="26"/>
      <x:c r="E11" s="41" t="str">
        <x:f>IF(COUNT('Income Statement'!E8,'Capital Calculations'!E26)&lt;2,"n.a.",IF(('Capital Calculations'!E26)&gt;0,('Income Statement'!E8)/('Capital Calculations'!E26),"n.a."))</x:f>
        <x:v>n.a.</x:v>
      </x:c>
      <x:c r="F11" s="41" t="str">
        <x:f>IF(COUNT('Income Statement'!F8,'Capital Calculations'!F26)&lt;2,"n.a.",IF(('Capital Calculations'!F26)&gt;0,('Income Statement'!F8)/('Capital Calculations'!F26),"n.a."))</x:f>
        <x:v>n.a.</x:v>
      </x:c>
      <x:c r="G11" s="41" t="str">
        <x:f>IF(COUNT('Income Statement'!G8,'Capital Calculations'!G26)&lt;2,"n.a.",IF(('Capital Calculations'!G26)&gt;0,('Income Statement'!G8)/('Capital Calculations'!G26),"n.a."))</x:f>
        <x:v>n.a.</x:v>
      </x:c>
      <x:c r="H11" s="41" t="str">
        <x:f>IF(COUNT('Income Statement'!H8,'Capital Calculations'!H26)&lt;2,"n.a.",IF(('Capital Calculations'!H26)&gt;0,('Income Statement'!H8)/('Capital Calculations'!H26),"n.a."))</x:f>
        <x:v>n.a.</x:v>
      </x:c>
      <x:c r="I11" s="41" t="str">
        <x:f>IF(COUNT('Income Statement'!I8,'Capital Calculations'!I26)&lt;2,"n.a.",IF(('Capital Calculations'!I26)&gt;0,('Income Statement'!I8)/('Capital Calculations'!I26),"n.a."))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" t="str">
        <x:v>Receivables days, total-sales basis</x:v>
      </x:c>
      <x:c r="D12" s="15"/>
      <x:c r="E12" s="39" t="str">
        <x:f>IF(COUNT('Setup'!$E$13,'Capital Calculations'!E26,'Income Statement'!E8)&lt;3,"n.a.",IF(('Income Statement'!E8)&gt;0,('Setup'!$E$13*'Capital Calculations'!E26)/('Income Statement'!E8),"n.a."))</x:f>
        <x:v>n.a.</x:v>
      </x:c>
      <x:c r="F12" s="39" t="str">
        <x:f>IF(COUNT('Setup'!$E$13,'Capital Calculations'!F26,'Income Statement'!F8)&lt;3,"n.a.",IF(('Income Statement'!F8)&gt;0,('Setup'!$E$13*'Capital Calculations'!F26)/('Income Statement'!F8),"n.a."))</x:f>
        <x:v>n.a.</x:v>
      </x:c>
      <x:c r="G12" s="39" t="str">
        <x:f>IF(COUNT('Setup'!$E$13,'Capital Calculations'!G26,'Income Statement'!G8)&lt;3,"n.a.",IF(('Income Statement'!G8)&gt;0,('Setup'!$E$13*'Capital Calculations'!G26)/('Income Statement'!G8),"n.a."))</x:f>
        <x:v>n.a.</x:v>
      </x:c>
      <x:c r="H12" s="39" t="str">
        <x:f>IF(COUNT('Setup'!$E$13,'Capital Calculations'!H26,'Income Statement'!H8)&lt;3,"n.a.",IF(('Income Statement'!H8)&gt;0,('Setup'!$E$13*'Capital Calculations'!H26)/('Income Statement'!H8),"n.a."))</x:f>
        <x:v>n.a.</x:v>
      </x:c>
      <x:c r="I12" s="39" t="str">
        <x:f>IF(COUNT('Setup'!$E$13,'Capital Calculations'!I26,'Income Statement'!I8)&lt;3,"n.a.",IF(('Income Statement'!I8)&gt;0,('Setup'!$E$13*'Capital Calculations'!I26)/('Income Statement'!I8),"n.a."))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" t="str">
        <x:v>Receivables days, credit-sales basis</x:v>
      </x:c>
      <x:c r="D13" s="15"/>
      <x:c r="E13" s="43" t="str">
        <x:f>IF(COUNT('Setup'!$E$13,'Capital Calculations'!E26,'Income Statement'!E33)&lt;3,"n.a.",IF(('Income Statement'!E33)&gt;0,('Setup'!$E$13*'Capital Calculations'!E26)/('Income Statement'!E33),"n.a."))</x:f>
        <x:v>n.a.</x:v>
      </x:c>
      <x:c r="F13" s="43" t="str">
        <x:f>IF(COUNT('Setup'!$E$13,'Capital Calculations'!F26,'Income Statement'!F33)&lt;3,"n.a.",IF(('Income Statement'!F33)&gt;0,('Setup'!$E$13*'Capital Calculations'!F26)/('Income Statement'!F33),"n.a."))</x:f>
        <x:v>n.a.</x:v>
      </x:c>
      <x:c r="G13" s="43" t="str">
        <x:f>IF(COUNT('Setup'!$E$13,'Capital Calculations'!G26,'Income Statement'!G33)&lt;3,"n.a.",IF(('Income Statement'!G33)&gt;0,('Setup'!$E$13*'Capital Calculations'!G26)/('Income Statement'!G33),"n.a."))</x:f>
        <x:v>n.a.</x:v>
      </x:c>
      <x:c r="H13" s="43" t="str">
        <x:f>IF(COUNT('Setup'!$E$13,'Capital Calculations'!H26,'Income Statement'!H33)&lt;3,"n.a.",IF(('Income Statement'!H33)&gt;0,('Setup'!$E$13*'Capital Calculations'!H26)/('Income Statement'!H33),"n.a."))</x:f>
        <x:v>n.a.</x:v>
      </x:c>
      <x:c r="I13" s="43" t="str">
        <x:f>IF(COUNT('Setup'!$E$13,'Capital Calculations'!I26,'Income Statement'!I33)&lt;3,"n.a.",IF(('Income Statement'!I33)&gt;0,('Setup'!$E$13*'Capital Calculations'!I26)/('Income Statement'!I33),"n.a."))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0" t="str">
        <x:v>Payables turnover, purchases basis</x:v>
      </x:c>
      <x:c r="D14" s="26"/>
      <x:c r="E14" s="42" t="str">
        <x:f>IF(COUNT('Income Statement'!E32,'Capital Calculations'!E27)&lt;2,"n.a.",IF(('Capital Calculations'!E27)&gt;0,('Income Statement'!E32)/('Capital Calculations'!E27),"n.a."))</x:f>
        <x:v>n.a.</x:v>
      </x:c>
      <x:c r="F14" s="42" t="str">
        <x:f>IF(COUNT('Income Statement'!F32,'Capital Calculations'!F27)&lt;2,"n.a.",IF(('Capital Calculations'!F27)&gt;0,('Income Statement'!F32)/('Capital Calculations'!F27),"n.a."))</x:f>
        <x:v>n.a.</x:v>
      </x:c>
      <x:c r="G14" s="42" t="str">
        <x:f>IF(COUNT('Income Statement'!G32,'Capital Calculations'!G27)&lt;2,"n.a.",IF(('Capital Calculations'!G27)&gt;0,('Income Statement'!G32)/('Capital Calculations'!G27),"n.a."))</x:f>
        <x:v>n.a.</x:v>
      </x:c>
      <x:c r="H14" s="42" t="str">
        <x:f>IF(COUNT('Income Statement'!H32,'Capital Calculations'!H27)&lt;2,"n.a.",IF(('Capital Calculations'!H27)&gt;0,('Income Statement'!H32)/('Capital Calculations'!H27),"n.a."))</x:f>
        <x:v>n.a.</x:v>
      </x:c>
      <x:c r="I14" s="42" t="str">
        <x:f>IF(COUNT('Income Statement'!I32,'Capital Calculations'!I27)&lt;2,"n.a.",IF(('Capital Calculations'!I27)&gt;0,('Income Statement'!I32)/('Capital Calculations'!I27),"n.a."))</x:f>
        <x:v>n.a.</x:v>
      </x:c>
      <x:c r="J14" s="2"/>
      <x:c r="K14" s="2" t="str">
        <x:v>Purchases / average trade payables, not all current liabilities.</x:v>
      </x:c>
      <x:c r="L14" s="2"/>
      <x:c r="M14" s="2"/>
    </x:row>
    <x:row r="15" ht="23" customHeight="1">
      <x:c r="A15" s="1"/>
      <x:c r="B15" s="1"/>
      <x:c r="C15" s="2" t="str">
        <x:v>Payables days, purchases basis</x:v>
      </x:c>
      <x:c r="D15" s="15"/>
      <x:c r="E15" s="43" t="str">
        <x:f>IF(COUNT('Setup'!$E$13,'Capital Calculations'!E27,'Income Statement'!E32)&lt;3,"n.a.",IF(('Income Statement'!E32)&gt;0,('Setup'!$E$13*'Capital Calculations'!E27)/('Income Statement'!E32),"n.a."))</x:f>
        <x:v>n.a.</x:v>
      </x:c>
      <x:c r="F15" s="43" t="str">
        <x:f>IF(COUNT('Setup'!$E$13,'Capital Calculations'!F27,'Income Statement'!F32)&lt;3,"n.a.",IF(('Income Statement'!F32)&gt;0,('Setup'!$E$13*'Capital Calculations'!F27)/('Income Statement'!F32),"n.a."))</x:f>
        <x:v>n.a.</x:v>
      </x:c>
      <x:c r="G15" s="43" t="str">
        <x:f>IF(COUNT('Setup'!$E$13,'Capital Calculations'!G27,'Income Statement'!G32)&lt;3,"n.a.",IF(('Income Statement'!G32)&gt;0,('Setup'!$E$13*'Capital Calculations'!G27)/('Income Statement'!G32),"n.a."))</x:f>
        <x:v>n.a.</x:v>
      </x:c>
      <x:c r="H15" s="43" t="str">
        <x:f>IF(COUNT('Setup'!$E$13,'Capital Calculations'!H27,'Income Statement'!H32)&lt;3,"n.a.",IF(('Income Statement'!H32)&gt;0,('Setup'!$E$13*'Capital Calculations'!H27)/('Income Statement'!H32),"n.a."))</x:f>
        <x:v>n.a.</x:v>
      </x:c>
      <x:c r="I15" s="43" t="str">
        <x:f>IF(COUNT('Setup'!$E$13,'Capital Calculations'!I27,'Income Statement'!I32)&lt;3,"n.a.",IF(('Income Statement'!I32)&gt;0,('Setup'!$E$13*'Capital Calculations'!I27)/('Income Statement'!I32),"n.a."))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" t="str">
        <x:v>Payables days, COGS proxy</x:v>
      </x:c>
      <x:c r="D16" s="15"/>
      <x:c r="E16" s="39" t="str">
        <x:f>IF(COUNT('Setup'!$E$13,'Capital Calculations'!E27,'Income Statement'!E9)&lt;3,"n.a.",IF(('Income Statement'!E9)&gt;0,('Setup'!$E$13*'Capital Calculations'!E27)/('Income Statement'!E9),"n.a."))</x:f>
        <x:v>n.a.</x:v>
      </x:c>
      <x:c r="F16" s="39" t="str">
        <x:f>IF(COUNT('Setup'!$E$13,'Capital Calculations'!F27,'Income Statement'!F9)&lt;3,"n.a.",IF(('Income Statement'!F9)&gt;0,('Setup'!$E$13*'Capital Calculations'!F27)/('Income Statement'!F9),"n.a."))</x:f>
        <x:v>n.a.</x:v>
      </x:c>
      <x:c r="G16" s="39" t="str">
        <x:f>IF(COUNT('Setup'!$E$13,'Capital Calculations'!G27,'Income Statement'!G9)&lt;3,"n.a.",IF(('Income Statement'!G9)&gt;0,('Setup'!$E$13*'Capital Calculations'!G27)/('Income Statement'!G9),"n.a."))</x:f>
        <x:v>n.a.</x:v>
      </x:c>
      <x:c r="H16" s="39" t="str">
        <x:f>IF(COUNT('Setup'!$E$13,'Capital Calculations'!H27,'Income Statement'!H9)&lt;3,"n.a.",IF(('Income Statement'!H9)&gt;0,('Setup'!$E$13*'Capital Calculations'!H27)/('Income Statement'!H9),"n.a."))</x:f>
        <x:v>n.a.</x:v>
      </x:c>
      <x:c r="I16" s="39" t="str">
        <x:f>IF(COUNT('Setup'!$E$13,'Capital Calculations'!I27,'Income Statement'!I9)&lt;3,"n.a.",IF(('Income Statement'!I9)&gt;0,('Setup'!$E$13*'Capital Calculations'!I27)/('Income Statement'!I9),"n.a."))</x:f>
        <x:v>n.a.</x:v>
      </x:c>
      <x:c r="J16" s="2"/>
      <x:c r="K16" s="2" t="str">
        <x:v>Explicit proxy when purchases are unavailable; not automatically substituted.</x:v>
      </x:c>
      <x:c r="L16" s="2"/>
      <x:c r="M16" s="2"/>
    </x:row>
    <x:row r="17" ht="23" customHeight="1">
      <x:c r="A17" s="1"/>
      <x:c r="B17" s="1"/>
      <x:c r="C17" s="2" t="str">
        <x:v>Operating cycle, days</x:v>
      </x:c>
      <x:c r="D17" s="15"/>
      <x:c r="E17" s="43" t="str">
        <x:f>IF(COUNT('Efficiency'!E8,'Efficiency'!E12)&lt;2,"n.a.",IF(TRUE,'Efficiency'!E8+'Efficiency'!E12,"n.a."))</x:f>
        <x:v>n.a.</x:v>
      </x:c>
      <x:c r="F17" s="43" t="str">
        <x:f>IF(COUNT('Efficiency'!F8,'Efficiency'!F12)&lt;2,"n.a.",IF(TRUE,'Efficiency'!F8+'Efficiency'!F12,"n.a."))</x:f>
        <x:v>n.a.</x:v>
      </x:c>
      <x:c r="G17" s="43" t="str">
        <x:f>IF(COUNT('Efficiency'!G8,'Efficiency'!G12)&lt;2,"n.a.",IF(TRUE,'Efficiency'!G8+'Efficiency'!G12,"n.a."))</x:f>
        <x:v>n.a.</x:v>
      </x:c>
      <x:c r="H17" s="43" t="str">
        <x:f>IF(COUNT('Efficiency'!H8,'Efficiency'!H12)&lt;2,"n.a.",IF(TRUE,'Efficiency'!H8+'Efficiency'!H12,"n.a."))</x:f>
        <x:v>n.a.</x:v>
      </x:c>
      <x:c r="I17" s="43" t="str">
        <x:f>IF(COUNT('Efficiency'!I8,'Efficiency'!I12)&lt;2,"n.a.",IF(TRUE,'Efficiency'!I8+'Efficiency'!I12,"n.a."))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 t="str">
        <x:v>Cash conversion cycle, purchases basis</x:v>
      </x:c>
      <x:c r="D18" s="15"/>
      <x:c r="E18" s="39" t="str">
        <x:f>IF(COUNT('Efficiency'!E8,'Efficiency'!E12,'Efficiency'!E15)&lt;3,"n.a.",IF(TRUE,'Efficiency'!E8+'Efficiency'!E12-'Efficiency'!E15,"n.a."))</x:f>
        <x:v>n.a.</x:v>
      </x:c>
      <x:c r="F18" s="39" t="str">
        <x:f>IF(COUNT('Efficiency'!F8,'Efficiency'!F12,'Efficiency'!F15)&lt;3,"n.a.",IF(TRUE,'Efficiency'!F8+'Efficiency'!F12-'Efficiency'!F15,"n.a."))</x:f>
        <x:v>n.a.</x:v>
      </x:c>
      <x:c r="G18" s="39" t="str">
        <x:f>IF(COUNT('Efficiency'!G8,'Efficiency'!G12,'Efficiency'!G15)&lt;3,"n.a.",IF(TRUE,'Efficiency'!G8+'Efficiency'!G12-'Efficiency'!G15,"n.a."))</x:f>
        <x:v>n.a.</x:v>
      </x:c>
      <x:c r="H18" s="39" t="str">
        <x:f>IF(COUNT('Efficiency'!H8,'Efficiency'!H12,'Efficiency'!H15)&lt;3,"n.a.",IF(TRUE,'Efficiency'!H8+'Efficiency'!H12-'Efficiency'!H15,"n.a."))</x:f>
        <x:v>n.a.</x:v>
      </x:c>
      <x:c r="I18" s="39" t="str">
        <x:f>IF(COUNT('Efficiency'!I8,'Efficiency'!I12,'Efficiency'!I15)&lt;3,"n.a.",IF(TRUE,'Efficiency'!I8+'Efficiency'!I12-'Efficiency'!I15,"n.a."))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" t="str">
        <x:v>Cash conversion cycle, COGS proxy</x:v>
      </x:c>
      <x:c r="D19" s="15"/>
      <x:c r="E19" s="43" t="str">
        <x:f>IF(COUNT('Efficiency'!E8,'Efficiency'!E12,'Efficiency'!E16)&lt;3,"n.a.",IF(TRUE,'Efficiency'!E8+'Efficiency'!E12-'Efficiency'!E16,"n.a."))</x:f>
        <x:v>n.a.</x:v>
      </x:c>
      <x:c r="F19" s="43" t="str">
        <x:f>IF(COUNT('Efficiency'!F8,'Efficiency'!F12,'Efficiency'!F16)&lt;3,"n.a.",IF(TRUE,'Efficiency'!F8+'Efficiency'!F12-'Efficiency'!F16,"n.a."))</x:f>
        <x:v>n.a.</x:v>
      </x:c>
      <x:c r="G19" s="43" t="str">
        <x:f>IF(COUNT('Efficiency'!G8,'Efficiency'!G12,'Efficiency'!G16)&lt;3,"n.a.",IF(TRUE,'Efficiency'!G8+'Efficiency'!G12-'Efficiency'!G16,"n.a."))</x:f>
        <x:v>n.a.</x:v>
      </x:c>
      <x:c r="H19" s="43" t="str">
        <x:f>IF(COUNT('Efficiency'!H8,'Efficiency'!H12,'Efficiency'!H16)&lt;3,"n.a.",IF(TRUE,'Efficiency'!H8+'Efficiency'!H12-'Efficiency'!H16,"n.a."))</x:f>
        <x:v>n.a.</x:v>
      </x:c>
      <x:c r="I19" s="43" t="str">
        <x:f>IF(COUNT('Efficiency'!I8,'Efficiency'!I12,'Efficiency'!I16)&lt;3,"n.a.",IF(TRUE,'Efficiency'!I8+'Efficiency'!I12-'Efficiency'!I16,"n.a."))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Total asset turnover, average</x:v>
      </x:c>
      <x:c r="D20" s="26"/>
      <x:c r="E20" s="42" t="str">
        <x:f>IF(COUNT('Income Statement'!E8,'Capital Calculations'!E22)&lt;2,"n.a.",IF(('Capital Calculations'!E22)&gt;0,('Income Statement'!E8)/('Capital Calculations'!E22),"n.a."))</x:f>
        <x:v>n.a.</x:v>
      </x:c>
      <x:c r="F20" s="42" t="str">
        <x:f>IF(COUNT('Income Statement'!F8,'Capital Calculations'!F22)&lt;2,"n.a.",IF(('Capital Calculations'!F22)&gt;0,('Income Statement'!F8)/('Capital Calculations'!F22),"n.a."))</x:f>
        <x:v>n.a.</x:v>
      </x:c>
      <x:c r="G20" s="42" t="str">
        <x:f>IF(COUNT('Income Statement'!G8,'Capital Calculations'!G22)&lt;2,"n.a.",IF(('Capital Calculations'!G22)&gt;0,('Income Statement'!G8)/('Capital Calculations'!G22),"n.a."))</x:f>
        <x:v>n.a.</x:v>
      </x:c>
      <x:c r="H20" s="42" t="str">
        <x:f>IF(COUNT('Income Statement'!H8,'Capital Calculations'!H22)&lt;2,"n.a.",IF(('Capital Calculations'!H22)&gt;0,('Income Statement'!H8)/('Capital Calculations'!H22),"n.a."))</x:f>
        <x:v>n.a.</x:v>
      </x:c>
      <x:c r="I20" s="42" t="str">
        <x:f>IF(COUNT('Income Statement'!I8,'Capital Calculations'!I22)&lt;2,"n.a.",IF(('Capital Calculations'!I22)&gt;0,('Income Statement'!I8)/('Capital Calculations'!I22),"n.a."))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Total asset turnover, closing</x:v>
      </x:c>
      <x:c r="D21" s="26"/>
      <x:c r="E21" s="41" t="str">
        <x:f>IF(COUNT('Income Statement'!E8,'Balance Sheet'!E29)&lt;2,"n.a.",IF(('Balance Sheet'!E29)&gt;0,('Income Statement'!E8)/('Balance Sheet'!E29),"n.a."))</x:f>
        <x:v>n.a.</x:v>
      </x:c>
      <x:c r="F21" s="41" t="str">
        <x:f>IF(COUNT('Income Statement'!F8,'Balance Sheet'!F29)&lt;2,"n.a.",IF(('Balance Sheet'!F29)&gt;0,('Income Statement'!F8)/('Balance Sheet'!F29),"n.a."))</x:f>
        <x:v>n.a.</x:v>
      </x:c>
      <x:c r="G21" s="41" t="str">
        <x:f>IF(COUNT('Income Statement'!G8,'Balance Sheet'!G29)&lt;2,"n.a.",IF(('Balance Sheet'!G29)&gt;0,('Income Statement'!G8)/('Balance Sheet'!G29),"n.a."))</x:f>
        <x:v>n.a.</x:v>
      </x:c>
      <x:c r="H21" s="41" t="str">
        <x:f>IF(COUNT('Income Statement'!H8,'Balance Sheet'!H29)&lt;2,"n.a.",IF(('Balance Sheet'!H29)&gt;0,('Income Statement'!H8)/('Balance Sheet'!H29),"n.a."))</x:f>
        <x:v>n.a.</x:v>
      </x:c>
      <x:c r="I21" s="41" t="str">
        <x:f>IF(COUNT('Income Statement'!I8,'Balance Sheet'!I29)&lt;2,"n.a.",IF(('Balance Sheet'!I29)&gt;0,('Income Statement'!I8)/('Balance Sheet'!I29),"n.a."))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Net PPE turnover, average</x:v>
      </x:c>
      <x:c r="D22" s="26"/>
      <x:c r="E22" s="42" t="str">
        <x:f>IF(COUNT('Income Statement'!E8,'Capital Calculations'!E28)&lt;2,"n.a.",IF(('Capital Calculations'!E28)&gt;0,('Income Statement'!E8)/('Capital Calculations'!E28),"n.a."))</x:f>
        <x:v>n.a.</x:v>
      </x:c>
      <x:c r="F22" s="42" t="str">
        <x:f>IF(COUNT('Income Statement'!F8,'Capital Calculations'!F28)&lt;2,"n.a.",IF(('Capital Calculations'!F28)&gt;0,('Income Statement'!F8)/('Capital Calculations'!F28),"n.a."))</x:f>
        <x:v>n.a.</x:v>
      </x:c>
      <x:c r="G22" s="42" t="str">
        <x:f>IF(COUNT('Income Statement'!G8,'Capital Calculations'!G28)&lt;2,"n.a.",IF(('Capital Calculations'!G28)&gt;0,('Income Statement'!G8)/('Capital Calculations'!G28),"n.a."))</x:f>
        <x:v>n.a.</x:v>
      </x:c>
      <x:c r="H22" s="42" t="str">
        <x:f>IF(COUNT('Income Statement'!H8,'Capital Calculations'!H28)&lt;2,"n.a.",IF(('Capital Calculations'!H28)&gt;0,('Income Statement'!H8)/('Capital Calculations'!H28),"n.a."))</x:f>
        <x:v>n.a.</x:v>
      </x:c>
      <x:c r="I22" s="42" t="str">
        <x:f>IF(COUNT('Income Statement'!I8,'Capital Calculations'!I28)&lt;2,"n.a.",IF(('Capital Calculations'!I28)&gt;0,('Income Statement'!I8)/('Capital Calculations'!I28),"n.a."))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Working capital turnover, average</x:v>
      </x:c>
      <x:c r="D23" s="26"/>
      <x:c r="E23" s="41" t="str">
        <x:f>IF(COUNT('Income Statement'!E8,'Capital Calculations'!E29)&lt;2,"n.a.",IF(('Capital Calculations'!E29)&gt;0,('Income Statement'!E8)/('Capital Calculations'!E29),"n.a."))</x:f>
        <x:v>n.a.</x:v>
      </x:c>
      <x:c r="F23" s="41" t="str">
        <x:f>IF(COUNT('Income Statement'!F8,'Capital Calculations'!F29)&lt;2,"n.a.",IF(('Capital Calculations'!F29)&gt;0,('Income Statement'!F8)/('Capital Calculations'!F29),"n.a."))</x:f>
        <x:v>n.a.</x:v>
      </x:c>
      <x:c r="G23" s="41" t="str">
        <x:f>IF(COUNT('Income Statement'!G8,'Capital Calculations'!G29)&lt;2,"n.a.",IF(('Capital Calculations'!G29)&gt;0,('Income Statement'!G8)/('Capital Calculations'!G29),"n.a."))</x:f>
        <x:v>n.a.</x:v>
      </x:c>
      <x:c r="H23" s="41" t="str">
        <x:f>IF(COUNT('Income Statement'!H8,'Capital Calculations'!H29)&lt;2,"n.a.",IF(('Capital Calculations'!H29)&gt;0,('Income Statement'!H8)/('Capital Calculations'!H29),"n.a."))</x:f>
        <x:v>n.a.</x:v>
      </x:c>
      <x:c r="I23" s="41" t="str">
        <x:f>IF(COUNT('Income Statement'!I8,'Capital Calculations'!I29)&lt;2,"n.a.",IF(('Capital Calculations'!I29)&gt;0,('Income Statement'!I8)/('Capital Calculations'!I29),"n.a."))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Debt and Solvency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Borrowings, capital structure and coverage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0" t="str">
        <x:v>Interest-bearing debt / equity</x:v>
      </x:c>
      <x:c r="D7" s="26"/>
      <x:c r="E7" s="41" t="str">
        <x:f>IF(COUNT('Capital Calculations'!E8,'Balance Sheet'!E52)&lt;2,"n.a.",IF(('Balance Sheet'!E52)&gt;0,('Capital Calculations'!E8)/('Balance Sheet'!E52),"n.a."))</x:f>
        <x:v>n.a.</x:v>
      </x:c>
      <x:c r="F7" s="41" t="str">
        <x:f>IF(COUNT('Capital Calculations'!F8,'Balance Sheet'!F52)&lt;2,"n.a.",IF(('Balance Sheet'!F52)&gt;0,('Capital Calculations'!F8)/('Balance Sheet'!F52),"n.a."))</x:f>
        <x:v>n.a.</x:v>
      </x:c>
      <x:c r="G7" s="41" t="str">
        <x:f>IF(COUNT('Capital Calculations'!G8,'Balance Sheet'!G52)&lt;2,"n.a.",IF(('Balance Sheet'!G52)&gt;0,('Capital Calculations'!G8)/('Balance Sheet'!G52),"n.a."))</x:f>
        <x:v>n.a.</x:v>
      </x:c>
      <x:c r="H7" s="41" t="str">
        <x:f>IF(COUNT('Capital Calculations'!H8,'Balance Sheet'!H52)&lt;2,"n.a.",IF(('Balance Sheet'!H52)&gt;0,('Capital Calculations'!H8)/('Balance Sheet'!H52),"n.a."))</x:f>
        <x:v>n.a.</x:v>
      </x:c>
      <x:c r="I7" s="41" t="str">
        <x:f>IF(COUNT('Capital Calculations'!I8,'Balance Sheet'!I52)&lt;2,"n.a.",IF(('Balance Sheet'!I52)&gt;0,('Capital Calculations'!I8)/('Balance Sheet'!I52),"n.a."))</x:f>
        <x:v>n.a.</x:v>
      </x:c>
      <x:c r="J7" s="2"/>
      <x:c r="K7" s="2"/>
      <x:c r="L7" s="2"/>
      <x:c r="M7" s="2"/>
    </x:row>
    <x:row r="8" ht="23" customHeight="1">
      <x:c r="A8" s="1"/>
      <x:c r="B8" s="1"/>
      <x:c r="C8" s="20" t="str">
        <x:v>Net debt / equity</x:v>
      </x:c>
      <x:c r="D8" s="26"/>
      <x:c r="E8" s="42" t="str">
        <x:f>IF(COUNT('Capital Calculations'!E9,'Balance Sheet'!E52)&lt;2,"n.a.",IF(('Balance Sheet'!E52)&gt;0,('Capital Calculations'!E9)/('Balance Sheet'!E52),"n.a."))</x:f>
        <x:v>n.a.</x:v>
      </x:c>
      <x:c r="F8" s="42" t="str">
        <x:f>IF(COUNT('Capital Calculations'!F9,'Balance Sheet'!F52)&lt;2,"n.a.",IF(('Balance Sheet'!F52)&gt;0,('Capital Calculations'!F9)/('Balance Sheet'!F52),"n.a."))</x:f>
        <x:v>n.a.</x:v>
      </x:c>
      <x:c r="G8" s="42" t="str">
        <x:f>IF(COUNT('Capital Calculations'!G9,'Balance Sheet'!G52)&lt;2,"n.a.",IF(('Balance Sheet'!G52)&gt;0,('Capital Calculations'!G9)/('Balance Sheet'!G52),"n.a."))</x:f>
        <x:v>n.a.</x:v>
      </x:c>
      <x:c r="H8" s="42" t="str">
        <x:f>IF(COUNT('Capital Calculations'!H9,'Balance Sheet'!H52)&lt;2,"n.a.",IF(('Balance Sheet'!H52)&gt;0,('Capital Calculations'!H9)/('Balance Sheet'!H52),"n.a."))</x:f>
        <x:v>n.a.</x:v>
      </x:c>
      <x:c r="I8" s="42" t="str">
        <x:f>IF(COUNT('Capital Calculations'!I9,'Balance Sheet'!I52)&lt;2,"n.a.",IF(('Balance Sheet'!I52)&gt;0,('Capital Calculations'!I9)/('Balance Sheet'!I52),"n.a."))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Interest-bearing debt / assets</x:v>
      </x:c>
      <x:c r="D9" s="21"/>
      <x:c r="E9" s="37" t="str">
        <x:f>IF(COUNT('Capital Calculations'!E8,'Balance Sheet'!E29)&lt;2,"n.a.",IF(('Balance Sheet'!E29)&gt;0,('Capital Calculations'!E8)/('Balance Sheet'!E29),"n.a."))</x:f>
        <x:v>n.a.</x:v>
      </x:c>
      <x:c r="F9" s="37" t="str">
        <x:f>IF(COUNT('Capital Calculations'!F8,'Balance Sheet'!F29)&lt;2,"n.a.",IF(('Balance Sheet'!F29)&gt;0,('Capital Calculations'!F8)/('Balance Sheet'!F29),"n.a."))</x:f>
        <x:v>n.a.</x:v>
      </x:c>
      <x:c r="G9" s="37" t="str">
        <x:f>IF(COUNT('Capital Calculations'!G8,'Balance Sheet'!G29)&lt;2,"n.a.",IF(('Balance Sheet'!G29)&gt;0,('Capital Calculations'!G8)/('Balance Sheet'!G29),"n.a."))</x:f>
        <x:v>n.a.</x:v>
      </x:c>
      <x:c r="H9" s="37" t="str">
        <x:f>IF(COUNT('Capital Calculations'!H8,'Balance Sheet'!H29)&lt;2,"n.a.",IF(('Balance Sheet'!H29)&gt;0,('Capital Calculations'!H8)/('Balance Sheet'!H29),"n.a."))</x:f>
        <x:v>n.a.</x:v>
      </x:c>
      <x:c r="I9" s="37" t="str">
        <x:f>IF(COUNT('Capital Calculations'!I8,'Balance Sheet'!I29)&lt;2,"n.a.",IF(('Balance Sheet'!I29)&gt;0,('Capital Calculations'!I8)/('Balance Sheet'!I29),"n.a."))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0" t="str">
        <x:v>Total liabilities / equity</x:v>
      </x:c>
      <x:c r="D10" s="26"/>
      <x:c r="E10" s="42" t="str">
        <x:f>IF(COUNT('Balance Sheet'!E45,'Balance Sheet'!E52)&lt;2,"n.a.",IF(('Balance Sheet'!E52)&gt;0,('Balance Sheet'!E45)/('Balance Sheet'!E52),"n.a."))</x:f>
        <x:v>n.a.</x:v>
      </x:c>
      <x:c r="F10" s="42" t="str">
        <x:f>IF(COUNT('Balance Sheet'!F45,'Balance Sheet'!F52)&lt;2,"n.a.",IF(('Balance Sheet'!F52)&gt;0,('Balance Sheet'!F45)/('Balance Sheet'!F52),"n.a."))</x:f>
        <x:v>n.a.</x:v>
      </x:c>
      <x:c r="G10" s="42" t="str">
        <x:f>IF(COUNT('Balance Sheet'!G45,'Balance Sheet'!G52)&lt;2,"n.a.",IF(('Balance Sheet'!G52)&gt;0,('Balance Sheet'!G45)/('Balance Sheet'!G52),"n.a."))</x:f>
        <x:v>n.a.</x:v>
      </x:c>
      <x:c r="H10" s="42" t="str">
        <x:f>IF(COUNT('Balance Sheet'!H45,'Balance Sheet'!H52)&lt;2,"n.a.",IF(('Balance Sheet'!H52)&gt;0,('Balance Sheet'!H45)/('Balance Sheet'!H52),"n.a."))</x:f>
        <x:v>n.a.</x:v>
      </x:c>
      <x:c r="I10" s="42" t="str">
        <x:f>IF(COUNT('Balance Sheet'!I45,'Balance Sheet'!I52)&lt;2,"n.a.",IF(('Balance Sheet'!I52)&gt;0,('Balance Sheet'!I45)/('Balance Sheet'!I52),"n.a."))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Total liabilities / assets</x:v>
      </x:c>
      <x:c r="D11" s="21"/>
      <x:c r="E11" s="37" t="str">
        <x:f>IF(COUNT('Balance Sheet'!E45,'Balance Sheet'!E29)&lt;2,"n.a.",IF(('Balance Sheet'!E29)&gt;0,('Balance Sheet'!E45)/('Balance Sheet'!E29),"n.a."))</x:f>
        <x:v>n.a.</x:v>
      </x:c>
      <x:c r="F11" s="37" t="str">
        <x:f>IF(COUNT('Balance Sheet'!F45,'Balance Sheet'!F29)&lt;2,"n.a.",IF(('Balance Sheet'!F29)&gt;0,('Balance Sheet'!F45)/('Balance Sheet'!F29),"n.a."))</x:f>
        <x:v>n.a.</x:v>
      </x:c>
      <x:c r="G11" s="37" t="str">
        <x:f>IF(COUNT('Balance Sheet'!G45,'Balance Sheet'!G29)&lt;2,"n.a.",IF(('Balance Sheet'!G29)&gt;0,('Balance Sheet'!G45)/('Balance Sheet'!G29),"n.a."))</x:f>
        <x:v>n.a.</x:v>
      </x:c>
      <x:c r="H11" s="37" t="str">
        <x:f>IF(COUNT('Balance Sheet'!H45,'Balance Sheet'!H29)&lt;2,"n.a.",IF(('Balance Sheet'!H29)&gt;0,('Balance Sheet'!H45)/('Balance Sheet'!H29),"n.a."))</x:f>
        <x:v>n.a.</x:v>
      </x:c>
      <x:c r="I11" s="37" t="str">
        <x:f>IF(COUNT('Balance Sheet'!I45,'Balance Sheet'!I29)&lt;2,"n.a.",IF(('Balance Sheet'!I29)&gt;0,('Balance Sheet'!I45)/('Balance Sheet'!I29),"n.a."))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Non-current liabilities / equity</x:v>
      </x:c>
      <x:c r="D12" s="26"/>
      <x:c r="E12" s="42" t="str">
        <x:f>IF(COUNT('Balance Sheet'!E44,'Balance Sheet'!E52)&lt;2,"n.a.",IF(('Balance Sheet'!E52)&gt;0,('Balance Sheet'!E44)/('Balance Sheet'!E52),"n.a."))</x:f>
        <x:v>n.a.</x:v>
      </x:c>
      <x:c r="F12" s="42" t="str">
        <x:f>IF(COUNT('Balance Sheet'!F44,'Balance Sheet'!F52)&lt;2,"n.a.",IF(('Balance Sheet'!F52)&gt;0,('Balance Sheet'!F44)/('Balance Sheet'!F52),"n.a."))</x:f>
        <x:v>n.a.</x:v>
      </x:c>
      <x:c r="G12" s="42" t="str">
        <x:f>IF(COUNT('Balance Sheet'!G44,'Balance Sheet'!G52)&lt;2,"n.a.",IF(('Balance Sheet'!G52)&gt;0,('Balance Sheet'!G44)/('Balance Sheet'!G52),"n.a."))</x:f>
        <x:v>n.a.</x:v>
      </x:c>
      <x:c r="H12" s="42" t="str">
        <x:f>IF(COUNT('Balance Sheet'!H44,'Balance Sheet'!H52)&lt;2,"n.a.",IF(('Balance Sheet'!H52)&gt;0,('Balance Sheet'!H44)/('Balance Sheet'!H52),"n.a."))</x:f>
        <x:v>n.a.</x:v>
      </x:c>
      <x:c r="I12" s="42" t="str">
        <x:f>IF(COUNT('Balance Sheet'!I44,'Balance Sheet'!I52)&lt;2,"n.a.",IF(('Balance Sheet'!I52)&gt;0,('Balance Sheet'!I44)/('Balance Sheet'!I52),"n.a."))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0" t="str">
        <x:v>Equity / total liabilities</x:v>
      </x:c>
      <x:c r="D13" s="26"/>
      <x:c r="E13" s="41" t="str">
        <x:f>IF(COUNT('Balance Sheet'!E52,'Balance Sheet'!E45)&lt;2,"n.a.",IF(('Balance Sheet'!E45)&gt;0,('Balance Sheet'!E52)/('Balance Sheet'!E45),"n.a."))</x:f>
        <x:v>n.a.</x:v>
      </x:c>
      <x:c r="F13" s="41" t="str">
        <x:f>IF(COUNT('Balance Sheet'!F52,'Balance Sheet'!F45)&lt;2,"n.a.",IF(('Balance Sheet'!F45)&gt;0,('Balance Sheet'!F52)/('Balance Sheet'!F45),"n.a."))</x:f>
        <x:v>n.a.</x:v>
      </x:c>
      <x:c r="G13" s="41" t="str">
        <x:f>IF(COUNT('Balance Sheet'!G52,'Balance Sheet'!G45)&lt;2,"n.a.",IF(('Balance Sheet'!G45)&gt;0,('Balance Sheet'!G52)/('Balance Sheet'!G45),"n.a."))</x:f>
        <x:v>n.a.</x:v>
      </x:c>
      <x:c r="H13" s="41" t="str">
        <x:f>IF(COUNT('Balance Sheet'!H52,'Balance Sheet'!H45)&lt;2,"n.a.",IF(('Balance Sheet'!H45)&gt;0,('Balance Sheet'!H52)/('Balance Sheet'!H45),"n.a."))</x:f>
        <x:v>n.a.</x:v>
      </x:c>
      <x:c r="I13" s="41" t="str">
        <x:f>IF(COUNT('Balance Sheet'!I52,'Balance Sheet'!I45)&lt;2,"n.a.",IF(('Balance Sheet'!I45)&gt;0,('Balance Sheet'!I52)/('Balance Sheet'!I45),"n.a."))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0" t="str">
        <x:v>Equity / assets</x:v>
      </x:c>
      <x:c r="D14" s="21"/>
      <x:c r="E14" s="36" t="str">
        <x:f>IF(COUNT('Balance Sheet'!E52,'Balance Sheet'!E29)&lt;2,"n.a.",IF(('Balance Sheet'!E29)&gt;0,('Balance Sheet'!E52)/('Balance Sheet'!E29),"n.a."))</x:f>
        <x:v>n.a.</x:v>
      </x:c>
      <x:c r="F14" s="36" t="str">
        <x:f>IF(COUNT('Balance Sheet'!F52,'Balance Sheet'!F29)&lt;2,"n.a.",IF(('Balance Sheet'!F29)&gt;0,('Balance Sheet'!F52)/('Balance Sheet'!F29),"n.a."))</x:f>
        <x:v>n.a.</x:v>
      </x:c>
      <x:c r="G14" s="36" t="str">
        <x:f>IF(COUNT('Balance Sheet'!G52,'Balance Sheet'!G29)&lt;2,"n.a.",IF(('Balance Sheet'!G29)&gt;0,('Balance Sheet'!G52)/('Balance Sheet'!G29),"n.a."))</x:f>
        <x:v>n.a.</x:v>
      </x:c>
      <x:c r="H14" s="36" t="str">
        <x:f>IF(COUNT('Balance Sheet'!H52,'Balance Sheet'!H29)&lt;2,"n.a.",IF(('Balance Sheet'!H29)&gt;0,('Balance Sheet'!H52)/('Balance Sheet'!H29),"n.a."))</x:f>
        <x:v>n.a.</x:v>
      </x:c>
      <x:c r="I14" s="36" t="str">
        <x:f>IF(COUNT('Balance Sheet'!I52,'Balance Sheet'!I29)&lt;2,"n.a.",IF(('Balance Sheet'!I29)&gt;0,('Balance Sheet'!I52)/('Balance Sheet'!I29),"n.a."))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0" t="str">
        <x:v>Non-current assets / equity</x:v>
      </x:c>
      <x:c r="D15" s="26"/>
      <x:c r="E15" s="41" t="str">
        <x:f>IF(COUNT('Balance Sheet'!E28,'Balance Sheet'!E52)&lt;2,"n.a.",IF(('Balance Sheet'!E52)&gt;0,('Balance Sheet'!E28)/('Balance Sheet'!E52),"n.a."))</x:f>
        <x:v>n.a.</x:v>
      </x:c>
      <x:c r="F15" s="41" t="str">
        <x:f>IF(COUNT('Balance Sheet'!F28,'Balance Sheet'!F52)&lt;2,"n.a.",IF(('Balance Sheet'!F52)&gt;0,('Balance Sheet'!F28)/('Balance Sheet'!F52),"n.a."))</x:f>
        <x:v>n.a.</x:v>
      </x:c>
      <x:c r="G15" s="41" t="str">
        <x:f>IF(COUNT('Balance Sheet'!G28,'Balance Sheet'!G52)&lt;2,"n.a.",IF(('Balance Sheet'!G52)&gt;0,('Balance Sheet'!G28)/('Balance Sheet'!G52),"n.a."))</x:f>
        <x:v>n.a.</x:v>
      </x:c>
      <x:c r="H15" s="41" t="str">
        <x:f>IF(COUNT('Balance Sheet'!H28,'Balance Sheet'!H52)&lt;2,"n.a.",IF(('Balance Sheet'!H52)&gt;0,('Balance Sheet'!H28)/('Balance Sheet'!H52),"n.a."))</x:f>
        <x:v>n.a.</x:v>
      </x:c>
      <x:c r="I15" s="41" t="str">
        <x:f>IF(COUNT('Balance Sheet'!I28,'Balance Sheet'!I52)&lt;2,"n.a.",IF(('Balance Sheet'!I52)&gt;0,('Balance Sheet'!I28)/('Balance Sheet'!I52),"n.a."))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0" t="str">
        <x:v>Equity / non-current assets</x:v>
      </x:c>
      <x:c r="D16" s="26"/>
      <x:c r="E16" s="42" t="str">
        <x:f>IF(COUNT('Balance Sheet'!E52,'Balance Sheet'!E28)&lt;2,"n.a.",IF(('Balance Sheet'!E28)&gt;0,('Balance Sheet'!E52)/('Balance Sheet'!E28),"n.a."))</x:f>
        <x:v>n.a.</x:v>
      </x:c>
      <x:c r="F16" s="42" t="str">
        <x:f>IF(COUNT('Balance Sheet'!F52,'Balance Sheet'!F28)&lt;2,"n.a.",IF(('Balance Sheet'!F28)&gt;0,('Balance Sheet'!F52)/('Balance Sheet'!F28),"n.a."))</x:f>
        <x:v>n.a.</x:v>
      </x:c>
      <x:c r="G16" s="42" t="str">
        <x:f>IF(COUNT('Balance Sheet'!G52,'Balance Sheet'!G28)&lt;2,"n.a.",IF(('Balance Sheet'!G28)&gt;0,('Balance Sheet'!G52)/('Balance Sheet'!G28),"n.a."))</x:f>
        <x:v>n.a.</x:v>
      </x:c>
      <x:c r="H16" s="42" t="str">
        <x:f>IF(COUNT('Balance Sheet'!H52,'Balance Sheet'!H28)&lt;2,"n.a.",IF(('Balance Sheet'!H28)&gt;0,('Balance Sheet'!H52)/('Balance Sheet'!H28),"n.a."))</x:f>
        <x:v>n.a.</x:v>
      </x:c>
      <x:c r="I16" s="42" t="str">
        <x:f>IF(COUNT('Balance Sheet'!I52,'Balance Sheet'!I28)&lt;2,"n.a.",IF(('Balance Sheet'!I28)&gt;0,('Balance Sheet'!I52)/('Balance Sheet'!I28),"n.a."))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Non-current assets / non-current liabilities</x:v>
      </x:c>
      <x:c r="D17" s="26"/>
      <x:c r="E17" s="41" t="str">
        <x:f>IF(COUNT('Balance Sheet'!E28,'Balance Sheet'!E44)&lt;2,"n.a.",IF(('Balance Sheet'!E44)&gt;0,('Balance Sheet'!E28)/('Balance Sheet'!E44),"n.a."))</x:f>
        <x:v>n.a.</x:v>
      </x:c>
      <x:c r="F17" s="41" t="str">
        <x:f>IF(COUNT('Balance Sheet'!F28,'Balance Sheet'!F44)&lt;2,"n.a.",IF(('Balance Sheet'!F44)&gt;0,('Balance Sheet'!F28)/('Balance Sheet'!F44),"n.a."))</x:f>
        <x:v>n.a.</x:v>
      </x:c>
      <x:c r="G17" s="41" t="str">
        <x:f>IF(COUNT('Balance Sheet'!G28,'Balance Sheet'!G44)&lt;2,"n.a.",IF(('Balance Sheet'!G44)&gt;0,('Balance Sheet'!G28)/('Balance Sheet'!G44),"n.a."))</x:f>
        <x:v>n.a.</x:v>
      </x:c>
      <x:c r="H17" s="41" t="str">
        <x:f>IF(COUNT('Balance Sheet'!H28,'Balance Sheet'!H44)&lt;2,"n.a.",IF(('Balance Sheet'!H44)&gt;0,('Balance Sheet'!H28)/('Balance Sheet'!H44),"n.a."))</x:f>
        <x:v>n.a.</x:v>
      </x:c>
      <x:c r="I17" s="41" t="str">
        <x:f>IF(COUNT('Balance Sheet'!I28,'Balance Sheet'!I44)&lt;2,"n.a.",IF(('Balance Sheet'!I44)&gt;0,('Balance Sheet'!I28)/('Balance Sheet'!I44),"n.a."))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0" t="str">
        <x:v>Non-current assets / assets</x:v>
      </x:c>
      <x:c r="D18" s="21"/>
      <x:c r="E18" s="36" t="str">
        <x:f>IF(COUNT('Balance Sheet'!E28,'Balance Sheet'!E29)&lt;2,"n.a.",IF(('Balance Sheet'!E29)&gt;0,('Balance Sheet'!E28)/('Balance Sheet'!E29),"n.a."))</x:f>
        <x:v>n.a.</x:v>
      </x:c>
      <x:c r="F18" s="36" t="str">
        <x:f>IF(COUNT('Balance Sheet'!F28,'Balance Sheet'!F29)&lt;2,"n.a.",IF(('Balance Sheet'!F29)&gt;0,('Balance Sheet'!F28)/('Balance Sheet'!F29),"n.a."))</x:f>
        <x:v>n.a.</x:v>
      </x:c>
      <x:c r="G18" s="36" t="str">
        <x:f>IF(COUNT('Balance Sheet'!G28,'Balance Sheet'!G29)&lt;2,"n.a.",IF(('Balance Sheet'!G29)&gt;0,('Balance Sheet'!G28)/('Balance Sheet'!G29),"n.a."))</x:f>
        <x:v>n.a.</x:v>
      </x:c>
      <x:c r="H18" s="36" t="str">
        <x:f>IF(COUNT('Balance Sheet'!H28,'Balance Sheet'!H29)&lt;2,"n.a.",IF(('Balance Sheet'!H29)&gt;0,('Balance Sheet'!H28)/('Balance Sheet'!H29),"n.a."))</x:f>
        <x:v>n.a.</x:v>
      </x:c>
      <x:c r="I18" s="36" t="str">
        <x:f>IF(COUNT('Balance Sheet'!I28,'Balance Sheet'!I29)&lt;2,"n.a.",IF(('Balance Sheet'!I29)&gt;0,('Balance Sheet'!I28)/('Balance Sheet'!I29),"n.a."))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Current liabilities / total liabilities</x:v>
      </x:c>
      <x:c r="D19" s="21"/>
      <x:c r="E19" s="37" t="str">
        <x:f>IF(COUNT('Balance Sheet'!E37,'Balance Sheet'!E45)&lt;2,"n.a.",IF(('Balance Sheet'!E45)&gt;0,('Balance Sheet'!E37)/('Balance Sheet'!E45),"n.a."))</x:f>
        <x:v>n.a.</x:v>
      </x:c>
      <x:c r="F19" s="37" t="str">
        <x:f>IF(COUNT('Balance Sheet'!F37,'Balance Sheet'!F45)&lt;2,"n.a.",IF(('Balance Sheet'!F45)&gt;0,('Balance Sheet'!F37)/('Balance Sheet'!F45),"n.a."))</x:f>
        <x:v>n.a.</x:v>
      </x:c>
      <x:c r="G19" s="37" t="str">
        <x:f>IF(COUNT('Balance Sheet'!G37,'Balance Sheet'!G45)&lt;2,"n.a.",IF(('Balance Sheet'!G45)&gt;0,('Balance Sheet'!G37)/('Balance Sheet'!G45),"n.a."))</x:f>
        <x:v>n.a.</x:v>
      </x:c>
      <x:c r="H19" s="37" t="str">
        <x:f>IF(COUNT('Balance Sheet'!H37,'Balance Sheet'!H45)&lt;2,"n.a.",IF(('Balance Sheet'!H45)&gt;0,('Balance Sheet'!H37)/('Balance Sheet'!H45),"n.a."))</x:f>
        <x:v>n.a.</x:v>
      </x:c>
      <x:c r="I19" s="37" t="str">
        <x:f>IF(COUNT('Balance Sheet'!I37,'Balance Sheet'!I45)&lt;2,"n.a.",IF(('Balance Sheet'!I45)&gt;0,('Balance Sheet'!I37)/('Balance Sheet'!I45),"n.a."))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Equity multiplier, average</x:v>
      </x:c>
      <x:c r="D20" s="26"/>
      <x:c r="E20" s="42" t="str">
        <x:f>IF(COUNT('Capital Calculations'!E22,'Capital Calculations'!E23)&lt;2,"n.a.",IF(('Capital Calculations'!E23)&gt;0,('Capital Calculations'!E22)/('Capital Calculations'!E23),"n.a."))</x:f>
        <x:v>n.a.</x:v>
      </x:c>
      <x:c r="F20" s="42" t="str">
        <x:f>IF(COUNT('Capital Calculations'!F22,'Capital Calculations'!F23)&lt;2,"n.a.",IF(('Capital Calculations'!F23)&gt;0,('Capital Calculations'!F22)/('Capital Calculations'!F23),"n.a."))</x:f>
        <x:v>n.a.</x:v>
      </x:c>
      <x:c r="G20" s="42" t="str">
        <x:f>IF(COUNT('Capital Calculations'!G22,'Capital Calculations'!G23)&lt;2,"n.a.",IF(('Capital Calculations'!G23)&gt;0,('Capital Calculations'!G22)/('Capital Calculations'!G23),"n.a."))</x:f>
        <x:v>n.a.</x:v>
      </x:c>
      <x:c r="H20" s="42" t="str">
        <x:f>IF(COUNT('Capital Calculations'!H22,'Capital Calculations'!H23)&lt;2,"n.a.",IF(('Capital Calculations'!H23)&gt;0,('Capital Calculations'!H22)/('Capital Calculations'!H23),"n.a."))</x:f>
        <x:v>n.a.</x:v>
      </x:c>
      <x:c r="I20" s="42" t="str">
        <x:f>IF(COUNT('Capital Calculations'!I22,'Capital Calculations'!I23)&lt;2,"n.a.",IF(('Capital Calculations'!I23)&gt;0,('Capital Calculations'!I22)/('Capital Calculations'!I23),"n.a."))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EBIT / interest expense</x:v>
      </x:c>
      <x:c r="D21" s="26"/>
      <x:c r="E21" s="41" t="str">
        <x:f>IF(COUNT('Income Statement'!E16,'Income Statement'!E22)&lt;2,"n.a.",IF(('Income Statement'!E22)&gt;0,('Income Statement'!E16)/('Income Statement'!E22),"n.a."))</x:f>
        <x:v>n.a.</x:v>
      </x:c>
      <x:c r="F21" s="41" t="str">
        <x:f>IF(COUNT('Income Statement'!F16,'Income Statement'!F22)&lt;2,"n.a.",IF(('Income Statement'!F22)&gt;0,('Income Statement'!F16)/('Income Statement'!F22),"n.a."))</x:f>
        <x:v>n.a.</x:v>
      </x:c>
      <x:c r="G21" s="41" t="str">
        <x:f>IF(COUNT('Income Statement'!G16,'Income Statement'!G22)&lt;2,"n.a.",IF(('Income Statement'!G22)&gt;0,('Income Statement'!G16)/('Income Statement'!G22),"n.a."))</x:f>
        <x:v>n.a.</x:v>
      </x:c>
      <x:c r="H21" s="41" t="str">
        <x:f>IF(COUNT('Income Statement'!H16,'Income Statement'!H22)&lt;2,"n.a.",IF(('Income Statement'!H22)&gt;0,('Income Statement'!H16)/('Income Statement'!H22),"n.a."))</x:f>
        <x:v>n.a.</x:v>
      </x:c>
      <x:c r="I21" s="41" t="str">
        <x:f>IF(COUNT('Income Statement'!I16,'Income Statement'!I22)&lt;2,"n.a.",IF(('Income Statement'!I22)&gt;0,('Income Statement'!I16)/('Income Statement'!I22),"n.a."))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EBITDA / interest expense</x:v>
      </x:c>
      <x:c r="D22" s="26"/>
      <x:c r="E22" s="42" t="str">
        <x:f>IF(COUNT('Capital Calculations'!E16,'Income Statement'!E22)&lt;2,"n.a.",IF(('Income Statement'!E22)&gt;0,('Capital Calculations'!E16)/('Income Statement'!E22),"n.a."))</x:f>
        <x:v>n.a.</x:v>
      </x:c>
      <x:c r="F22" s="42" t="str">
        <x:f>IF(COUNT('Capital Calculations'!F16,'Income Statement'!F22)&lt;2,"n.a.",IF(('Income Statement'!F22)&gt;0,('Capital Calculations'!F16)/('Income Statement'!F22),"n.a."))</x:f>
        <x:v>n.a.</x:v>
      </x:c>
      <x:c r="G22" s="42" t="str">
        <x:f>IF(COUNT('Capital Calculations'!G16,'Income Statement'!G22)&lt;2,"n.a.",IF(('Income Statement'!G22)&gt;0,('Capital Calculations'!G16)/('Income Statement'!G22),"n.a."))</x:f>
        <x:v>n.a.</x:v>
      </x:c>
      <x:c r="H22" s="42" t="str">
        <x:f>IF(COUNT('Capital Calculations'!H16,'Income Statement'!H22)&lt;2,"n.a.",IF(('Income Statement'!H22)&gt;0,('Capital Calculations'!H16)/('Income Statement'!H22),"n.a."))</x:f>
        <x:v>n.a.</x:v>
      </x:c>
      <x:c r="I22" s="42" t="str">
        <x:f>IF(COUNT('Capital Calculations'!I16,'Income Statement'!I22)&lt;2,"n.a.",IF(('Income Statement'!I22)&gt;0,('Capital Calculations'!I16)/('Income Statement'!I22),"n.a."))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Net debt / EBITDA</x:v>
      </x:c>
      <x:c r="D23" s="26"/>
      <x:c r="E23" s="41" t="str">
        <x:f>IF(COUNT('Capital Calculations'!E9,'Capital Calculations'!E16)&lt;2,"n.a.",IF(('Capital Calculations'!E16)&gt;0,('Capital Calculations'!E9)/('Capital Calculations'!E16),"n.a."))</x:f>
        <x:v>n.a.</x:v>
      </x:c>
      <x:c r="F23" s="41" t="str">
        <x:f>IF(COUNT('Capital Calculations'!F9,'Capital Calculations'!F16)&lt;2,"n.a.",IF(('Capital Calculations'!F16)&gt;0,('Capital Calculations'!F9)/('Capital Calculations'!F16),"n.a."))</x:f>
        <x:v>n.a.</x:v>
      </x:c>
      <x:c r="G23" s="41" t="str">
        <x:f>IF(COUNT('Capital Calculations'!G9,'Capital Calculations'!G16)&lt;2,"n.a.",IF(('Capital Calculations'!G16)&gt;0,('Capital Calculations'!G9)/('Capital Calculations'!G16),"n.a."))</x:f>
        <x:v>n.a.</x:v>
      </x:c>
      <x:c r="H23" s="41" t="str">
        <x:f>IF(COUNT('Capital Calculations'!H9,'Capital Calculations'!H16)&lt;2,"n.a.",IF(('Capital Calculations'!H16)&gt;0,('Capital Calculations'!H9)/('Capital Calculations'!H16),"n.a."))</x:f>
        <x:v>n.a.</x:v>
      </x:c>
      <x:c r="I23" s="41" t="str">
        <x:f>IF(COUNT('Capital Calculations'!I9,'Capital Calculations'!I16)&lt;2,"n.a.",IF(('Capital Calculations'!I16)&gt;0,('Capital Calculations'!I9)/('Capital Calculations'!I16),"n.a."))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0" t="str">
        <x:v>Working capital / interest-bearing debt</x:v>
      </x:c>
      <x:c r="D24" s="26"/>
      <x:c r="E24" s="42" t="str">
        <x:f>IF(COUNT('Capital Calculations'!E10,'Capital Calculations'!E8)&lt;2,"n.a.",IF(('Capital Calculations'!E8)&gt;0,('Capital Calculations'!E10)/('Capital Calculations'!E8),"n.a."))</x:f>
        <x:v>n.a.</x:v>
      </x:c>
      <x:c r="F24" s="42" t="str">
        <x:f>IF(COUNT('Capital Calculations'!F10,'Capital Calculations'!F8)&lt;2,"n.a.",IF(('Capital Calculations'!F8)&gt;0,('Capital Calculations'!F10)/('Capital Calculations'!F8),"n.a."))</x:f>
        <x:v>n.a.</x:v>
      </x:c>
      <x:c r="G24" s="42" t="str">
        <x:f>IF(COUNT('Capital Calculations'!G10,'Capital Calculations'!G8)&lt;2,"n.a.",IF(('Capital Calculations'!G8)&gt;0,('Capital Calculations'!G10)/('Capital Calculations'!G8),"n.a."))</x:f>
        <x:v>n.a.</x:v>
      </x:c>
      <x:c r="H24" s="42" t="str">
        <x:f>IF(COUNT('Capital Calculations'!H10,'Capital Calculations'!H8)&lt;2,"n.a.",IF(('Capital Calculations'!H8)&gt;0,('Capital Calculations'!H10)/('Capital Calculations'!H8),"n.a."))</x:f>
        <x:v>n.a.</x:v>
      </x:c>
      <x:c r="I24" s="42" t="str">
        <x:f>IF(COUNT('Capital Calculations'!I10,'Capital Calculations'!I8)&lt;2,"n.a.",IF(('Capital Calculations'!I8)&gt;0,('Capital Calculations'!I10)/('Capital Calculations'!I8),"n.a."))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20" t="str">
        <x:v>Debt / total capital</x:v>
      </x:c>
      <x:c r="D25" s="21"/>
      <x:c r="E25" s="37" t="str">
        <x:f>IF(COUNT('Capital Calculations'!E8,'Balance Sheet'!E52)&lt;2,"n.a.",IF(('Capital Calculations'!E8+'Balance Sheet'!E52)&gt;0,('Capital Calculations'!E8)/('Capital Calculations'!E8+'Balance Sheet'!E52),"n.a."))</x:f>
        <x:v>n.a.</x:v>
      </x:c>
      <x:c r="F25" s="37" t="str">
        <x:f>IF(COUNT('Capital Calculations'!F8,'Balance Sheet'!F52)&lt;2,"n.a.",IF(('Capital Calculations'!F8+'Balance Sheet'!F52)&gt;0,('Capital Calculations'!F8)/('Capital Calculations'!F8+'Balance Sheet'!F52),"n.a."))</x:f>
        <x:v>n.a.</x:v>
      </x:c>
      <x:c r="G25" s="37" t="str">
        <x:f>IF(COUNT('Capital Calculations'!G8,'Balance Sheet'!G52)&lt;2,"n.a.",IF(('Capital Calculations'!G8+'Balance Sheet'!G52)&gt;0,('Capital Calculations'!G8)/('Capital Calculations'!G8+'Balance Sheet'!G52),"n.a."))</x:f>
        <x:v>n.a.</x:v>
      </x:c>
      <x:c r="H25" s="37" t="str">
        <x:f>IF(COUNT('Capital Calculations'!H8,'Balance Sheet'!H52)&lt;2,"n.a.",IF(('Capital Calculations'!H8+'Balance Sheet'!H52)&gt;0,('Capital Calculations'!H8)/('Capital Calculations'!H8+'Balance Sheet'!H52),"n.a."))</x:f>
        <x:v>n.a.</x:v>
      </x:c>
      <x:c r="I25" s="37" t="str">
        <x:f>IF(COUNT('Capital Calculations'!I8,'Balance Sheet'!I52)&lt;2,"n.a.",IF(('Capital Calculations'!I8+'Balance Sheet'!I52)&gt;0,('Capital Calculations'!I8)/('Capital Calculations'!I8+'Balance Sheet'!I52),"n.a."))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Cash Flow Quality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Cash conversion, investment and distributions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Free cash flow after capex</x:v>
      </x:c>
      <x:c r="D7" s="15"/>
      <x:c r="E7" s="43" t="str">
        <x:f>IF(COUNT('Capital Calculations'!E19)&lt;1,"n.a.",IF(TRUE,'Capital Calculations'!E19,"n.a."))</x:f>
        <x:v>n.a.</x:v>
      </x:c>
      <x:c r="F7" s="43" t="str">
        <x:f>IF(COUNT('Capital Calculations'!F19)&lt;1,"n.a.",IF(TRUE,'Capital Calculations'!F19,"n.a."))</x:f>
        <x:v>n.a.</x:v>
      </x:c>
      <x:c r="G7" s="43" t="str">
        <x:f>IF(COUNT('Capital Calculations'!G19)&lt;1,"n.a.",IF(TRUE,'Capital Calculations'!G19,"n.a."))</x:f>
        <x:v>n.a.</x:v>
      </x:c>
      <x:c r="H7" s="43" t="str">
        <x:f>IF(COUNT('Capital Calculations'!H19)&lt;1,"n.a.",IF(TRUE,'Capital Calculations'!H19,"n.a."))</x:f>
        <x:v>n.a.</x:v>
      </x:c>
      <x:c r="I7" s="43" t="str">
        <x:f>IF(COUNT('Capital Calculations'!I19)&lt;1,"n.a.",IF(TRUE,'Capital Calculations'!I19,"n.a."))</x:f>
        <x:v>n.a.</x:v>
      </x:c>
      <x:c r="J7" s="2"/>
      <x:c r="K7" s="2"/>
      <x:c r="L7" s="2"/>
      <x:c r="M7" s="2"/>
    </x:row>
    <x:row r="8" ht="23" customHeight="1">
      <x:c r="A8" s="1"/>
      <x:c r="B8" s="1"/>
      <x:c r="C8" s="2" t="str">
        <x:v>Free cash flow after lease principal</x:v>
      </x:c>
      <x:c r="D8" s="15"/>
      <x:c r="E8" s="39" t="str">
        <x:f>IF(COUNT('Capital Calculations'!E19,'Cash Flow Statement'!E33)&lt;2,"n.a.",IF(TRUE,'Capital Calculations'!E19+'Cash Flow Statement'!E33,"n.a."))</x:f>
        <x:v>n.a.</x:v>
      </x:c>
      <x:c r="F8" s="39" t="str">
        <x:f>IF(COUNT('Capital Calculations'!F19,'Cash Flow Statement'!F33)&lt;2,"n.a.",IF(TRUE,'Capital Calculations'!F19+'Cash Flow Statement'!F33,"n.a."))</x:f>
        <x:v>n.a.</x:v>
      </x:c>
      <x:c r="G8" s="39" t="str">
        <x:f>IF(COUNT('Capital Calculations'!G19,'Cash Flow Statement'!G33)&lt;2,"n.a.",IF(TRUE,'Capital Calculations'!G19+'Cash Flow Statement'!G33,"n.a."))</x:f>
        <x:v>n.a.</x:v>
      </x:c>
      <x:c r="H8" s="39" t="str">
        <x:f>IF(COUNT('Capital Calculations'!H19,'Cash Flow Statement'!H33)&lt;2,"n.a.",IF(TRUE,'Capital Calculations'!H19+'Cash Flow Statement'!H33,"n.a."))</x:f>
        <x:v>n.a.</x:v>
      </x:c>
      <x:c r="I8" s="39" t="str">
        <x:f>IF(COUNT('Capital Calculations'!I19,'Cash Flow Statement'!I33)&lt;2,"n.a.",IF(TRUE,'Capital Calculations'!I19+'Cash Flow Statement'!I33,"n.a."))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Operating cash flow / net profit</x:v>
      </x:c>
      <x:c r="D9" s="26"/>
      <x:c r="E9" s="41" t="str">
        <x:f>IF(COUNT('Cash Flow Statement'!E18,'Income Statement'!E28)&lt;2,"n.a.",IF(('Income Statement'!E28)&gt;0,('Cash Flow Statement'!E18)/('Income Statement'!E28),"n.a."))</x:f>
        <x:v>n.a.</x:v>
      </x:c>
      <x:c r="F9" s="41" t="str">
        <x:f>IF(COUNT('Cash Flow Statement'!F18,'Income Statement'!F28)&lt;2,"n.a.",IF(('Income Statement'!F28)&gt;0,('Cash Flow Statement'!F18)/('Income Statement'!F28),"n.a."))</x:f>
        <x:v>n.a.</x:v>
      </x:c>
      <x:c r="G9" s="41" t="str">
        <x:f>IF(COUNT('Cash Flow Statement'!G18,'Income Statement'!G28)&lt;2,"n.a.",IF(('Income Statement'!G28)&gt;0,('Cash Flow Statement'!G18)/('Income Statement'!G28),"n.a."))</x:f>
        <x:v>n.a.</x:v>
      </x:c>
      <x:c r="H9" s="41" t="str">
        <x:f>IF(COUNT('Cash Flow Statement'!H18,'Income Statement'!H28)&lt;2,"n.a.",IF(('Income Statement'!H28)&gt;0,('Cash Flow Statement'!H18)/('Income Statement'!H28),"n.a."))</x:f>
        <x:v>n.a.</x:v>
      </x:c>
      <x:c r="I9" s="41" t="str">
        <x:f>IF(COUNT('Cash Flow Statement'!I18,'Income Statement'!I28)&lt;2,"n.a.",IF(('Income Statement'!I28)&gt;0,('Cash Flow Statement'!I18)/('Income Statement'!I28),"n.a."))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0" t="str">
        <x:v>Operating cash flow / pre-tax profit</x:v>
      </x:c>
      <x:c r="D10" s="26"/>
      <x:c r="E10" s="42" t="str">
        <x:f>IF(COUNT('Cash Flow Statement'!E18,'Income Statement'!E25)&lt;2,"n.a.",IF(('Income Statement'!E25)&gt;0,('Cash Flow Statement'!E18)/('Income Statement'!E25),"n.a."))</x:f>
        <x:v>n.a.</x:v>
      </x:c>
      <x:c r="F10" s="42" t="str">
        <x:f>IF(COUNT('Cash Flow Statement'!F18,'Income Statement'!F25)&lt;2,"n.a.",IF(('Income Statement'!F25)&gt;0,('Cash Flow Statement'!F18)/('Income Statement'!F25),"n.a."))</x:f>
        <x:v>n.a.</x:v>
      </x:c>
      <x:c r="G10" s="42" t="str">
        <x:f>IF(COUNT('Cash Flow Statement'!G18,'Income Statement'!G25)&lt;2,"n.a.",IF(('Income Statement'!G25)&gt;0,('Cash Flow Statement'!G18)/('Income Statement'!G25),"n.a."))</x:f>
        <x:v>n.a.</x:v>
      </x:c>
      <x:c r="H10" s="42" t="str">
        <x:f>IF(COUNT('Cash Flow Statement'!H18,'Income Statement'!H25)&lt;2,"n.a.",IF(('Income Statement'!H25)&gt;0,('Cash Flow Statement'!H18)/('Income Statement'!H25),"n.a."))</x:f>
        <x:v>n.a.</x:v>
      </x:c>
      <x:c r="I10" s="42" t="str">
        <x:f>IF(COUNT('Cash Flow Statement'!I18,'Income Statement'!I25)&lt;2,"n.a.",IF(('Income Statement'!I25)&gt;0,('Cash Flow Statement'!I18)/('Income Statement'!I25),"n.a."))</x:f>
        <x:v>n.a.</x:v>
      </x:c>
      <x:c r="J10" s="2"/>
      <x:c r="K10" s="2" t="str">
        <x:v>Explicit legacy pre-tax variant.</x:v>
      </x:c>
      <x:c r="L10" s="2"/>
      <x:c r="M10" s="2"/>
    </x:row>
    <x:row r="11" ht="23" customHeight="1">
      <x:c r="A11" s="1"/>
      <x:c r="B11" s="1"/>
      <x:c r="C11" s="20" t="str">
        <x:v>Operating cash flow margin</x:v>
      </x:c>
      <x:c r="D11" s="21"/>
      <x:c r="E11" s="37" t="str">
        <x:f>IF(COUNT('Cash Flow Statement'!E18,'Income Statement'!E8)&lt;2,"n.a.",IF(('Income Statement'!E8)&gt;0,('Cash Flow Statement'!E18)/('Income Statement'!E8),"n.a."))</x:f>
        <x:v>n.a.</x:v>
      </x:c>
      <x:c r="F11" s="37" t="str">
        <x:f>IF(COUNT('Cash Flow Statement'!F18,'Income Statement'!F8)&lt;2,"n.a.",IF(('Income Statement'!F8)&gt;0,('Cash Flow Statement'!F18)/('Income Statement'!F8),"n.a."))</x:f>
        <x:v>n.a.</x:v>
      </x:c>
      <x:c r="G11" s="37" t="str">
        <x:f>IF(COUNT('Cash Flow Statement'!G18,'Income Statement'!G8)&lt;2,"n.a.",IF(('Income Statement'!G8)&gt;0,('Cash Flow Statement'!G18)/('Income Statement'!G8),"n.a."))</x:f>
        <x:v>n.a.</x:v>
      </x:c>
      <x:c r="H11" s="37" t="str">
        <x:f>IF(COUNT('Cash Flow Statement'!H18,'Income Statement'!H8)&lt;2,"n.a.",IF(('Income Statement'!H8)&gt;0,('Cash Flow Statement'!H18)/('Income Statement'!H8),"n.a."))</x:f>
        <x:v>n.a.</x:v>
      </x:c>
      <x:c r="I11" s="37" t="str">
        <x:f>IF(COUNT('Cash Flow Statement'!I18,'Income Statement'!I8)&lt;2,"n.a.",IF(('Income Statement'!I8)&gt;0,('Cash Flow Statement'!I18)/('Income Statement'!I8),"n.a."))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Free cash flow margin</x:v>
      </x:c>
      <x:c r="D12" s="21"/>
      <x:c r="E12" s="36" t="str">
        <x:f>IF(COUNT('Capital Calculations'!E19,'Income Statement'!E8)&lt;2,"n.a.",IF(('Income Statement'!E8)&gt;0,('Capital Calculations'!E19)/('Income Statement'!E8),"n.a."))</x:f>
        <x:v>n.a.</x:v>
      </x:c>
      <x:c r="F12" s="36" t="str">
        <x:f>IF(COUNT('Capital Calculations'!F19,'Income Statement'!F8)&lt;2,"n.a.",IF(('Income Statement'!F8)&gt;0,('Capital Calculations'!F19)/('Income Statement'!F8),"n.a."))</x:f>
        <x:v>n.a.</x:v>
      </x:c>
      <x:c r="G12" s="36" t="str">
        <x:f>IF(COUNT('Capital Calculations'!G19,'Income Statement'!G8)&lt;2,"n.a.",IF(('Income Statement'!G8)&gt;0,('Capital Calculations'!G19)/('Income Statement'!G8),"n.a."))</x:f>
        <x:v>n.a.</x:v>
      </x:c>
      <x:c r="H12" s="36" t="str">
        <x:f>IF(COUNT('Capital Calculations'!H19,'Income Statement'!H8)&lt;2,"n.a.",IF(('Income Statement'!H8)&gt;0,('Capital Calculations'!H19)/('Income Statement'!H8),"n.a."))</x:f>
        <x:v>n.a.</x:v>
      </x:c>
      <x:c r="I12" s="36" t="str">
        <x:f>IF(COUNT('Capital Calculations'!I19,'Income Statement'!I8)&lt;2,"n.a.",IF(('Income Statement'!I8)&gt;0,('Capital Calculations'!I19)/('Income Statement'!I8),"n.a."))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0" t="str">
        <x:v>Operating cash flow / capex</x:v>
      </x:c>
      <x:c r="D13" s="26"/>
      <x:c r="E13" s="41" t="str">
        <x:f>IF(COUNT('Cash Flow Statement'!E18,'Cash Flow Statement'!E20)&lt;2,"n.a.",IF((-'Cash Flow Statement'!E20)&gt;0,('Cash Flow Statement'!E18)/(-'Cash Flow Statement'!E20),"n.a."))</x:f>
        <x:v>n.a.</x:v>
      </x:c>
      <x:c r="F13" s="41" t="str">
        <x:f>IF(COUNT('Cash Flow Statement'!F18,'Cash Flow Statement'!F20)&lt;2,"n.a.",IF((-'Cash Flow Statement'!F20)&gt;0,('Cash Flow Statement'!F18)/(-'Cash Flow Statement'!F20),"n.a."))</x:f>
        <x:v>n.a.</x:v>
      </x:c>
      <x:c r="G13" s="41" t="str">
        <x:f>IF(COUNT('Cash Flow Statement'!G18,'Cash Flow Statement'!G20)&lt;2,"n.a.",IF((-'Cash Flow Statement'!G20)&gt;0,('Cash Flow Statement'!G18)/(-'Cash Flow Statement'!G20),"n.a."))</x:f>
        <x:v>n.a.</x:v>
      </x:c>
      <x:c r="H13" s="41" t="str">
        <x:f>IF(COUNT('Cash Flow Statement'!H18,'Cash Flow Statement'!H20)&lt;2,"n.a.",IF((-'Cash Flow Statement'!H20)&gt;0,('Cash Flow Statement'!H18)/(-'Cash Flow Statement'!H20),"n.a."))</x:f>
        <x:v>n.a.</x:v>
      </x:c>
      <x:c r="I13" s="41" t="str">
        <x:f>IF(COUNT('Cash Flow Statement'!I18,'Cash Flow Statement'!I20)&lt;2,"n.a.",IF((-'Cash Flow Statement'!I20)&gt;0,('Cash Flow Statement'!I18)/(-'Cash Flow Statement'!I20),"n.a."))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0" t="str">
        <x:v>Capex / revenue</x:v>
      </x:c>
      <x:c r="D14" s="21"/>
      <x:c r="E14" s="36" t="str">
        <x:f>IF(COUNT('Cash Flow Statement'!E20,'Income Statement'!E8)&lt;2,"n.a.",IF(('Income Statement'!E8)&gt;0,(-'Cash Flow Statement'!E20)/('Income Statement'!E8),"n.a."))</x:f>
        <x:v>n.a.</x:v>
      </x:c>
      <x:c r="F14" s="36" t="str">
        <x:f>IF(COUNT('Cash Flow Statement'!F20,'Income Statement'!F8)&lt;2,"n.a.",IF(('Income Statement'!F8)&gt;0,(-'Cash Flow Statement'!F20)/('Income Statement'!F8),"n.a."))</x:f>
        <x:v>n.a.</x:v>
      </x:c>
      <x:c r="G14" s="36" t="str">
        <x:f>IF(COUNT('Cash Flow Statement'!G20,'Income Statement'!G8)&lt;2,"n.a.",IF(('Income Statement'!G8)&gt;0,(-'Cash Flow Statement'!G20)/('Income Statement'!G8),"n.a."))</x:f>
        <x:v>n.a.</x:v>
      </x:c>
      <x:c r="H14" s="36" t="str">
        <x:f>IF(COUNT('Cash Flow Statement'!H20,'Income Statement'!H8)&lt;2,"n.a.",IF(('Income Statement'!H8)&gt;0,(-'Cash Flow Statement'!H20)/('Income Statement'!H8),"n.a."))</x:f>
        <x:v>n.a.</x:v>
      </x:c>
      <x:c r="I14" s="36" t="str">
        <x:f>IF(COUNT('Cash Flow Statement'!I20,'Income Statement'!I8)&lt;2,"n.a.",IF(('Income Statement'!I8)&gt;0,(-'Cash Flow Statement'!I20)/('Income Statement'!I8),"n.a."))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0" t="str">
        <x:v>Capex / depreciation</x:v>
      </x:c>
      <x:c r="D15" s="26"/>
      <x:c r="E15" s="41" t="str">
        <x:f>IF(COUNT('Cash Flow Statement'!E20,'Income Statement'!E17)&lt;2,"n.a.",IF(('Income Statement'!E17)&gt;0,(-'Cash Flow Statement'!E20)/('Income Statement'!E17),"n.a."))</x:f>
        <x:v>n.a.</x:v>
      </x:c>
      <x:c r="F15" s="41" t="str">
        <x:f>IF(COUNT('Cash Flow Statement'!F20,'Income Statement'!F17)&lt;2,"n.a.",IF(('Income Statement'!F17)&gt;0,(-'Cash Flow Statement'!F20)/('Income Statement'!F17),"n.a."))</x:f>
        <x:v>n.a.</x:v>
      </x:c>
      <x:c r="G15" s="41" t="str">
        <x:f>IF(COUNT('Cash Flow Statement'!G20,'Income Statement'!G17)&lt;2,"n.a.",IF(('Income Statement'!G17)&gt;0,(-'Cash Flow Statement'!G20)/('Income Statement'!G17),"n.a."))</x:f>
        <x:v>n.a.</x:v>
      </x:c>
      <x:c r="H15" s="41" t="str">
        <x:f>IF(COUNT('Cash Flow Statement'!H20,'Income Statement'!H17)&lt;2,"n.a.",IF(('Income Statement'!H17)&gt;0,(-'Cash Flow Statement'!H20)/('Income Statement'!H17),"n.a."))</x:f>
        <x:v>n.a.</x:v>
      </x:c>
      <x:c r="I15" s="41" t="str">
        <x:f>IF(COUNT('Cash Flow Statement'!I20,'Income Statement'!I17)&lt;2,"n.a.",IF(('Income Statement'!I17)&gt;0,(-'Cash Flow Statement'!I20)/('Income Statement'!I17),"n.a."))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0" t="str">
        <x:v>Operating cash flow / cash dividends</x:v>
      </x:c>
      <x:c r="D16" s="26"/>
      <x:c r="E16" s="42" t="str">
        <x:f>IF(COUNT('Cash Flow Statement'!E18,'Cash Flow Statement'!E34)&lt;2,"n.a.",IF((-'Cash Flow Statement'!E34)&gt;0,('Cash Flow Statement'!E18)/(-'Cash Flow Statement'!E34),"n.a."))</x:f>
        <x:v>n.a.</x:v>
      </x:c>
      <x:c r="F16" s="42" t="str">
        <x:f>IF(COUNT('Cash Flow Statement'!F18,'Cash Flow Statement'!F34)&lt;2,"n.a.",IF((-'Cash Flow Statement'!F34)&gt;0,('Cash Flow Statement'!F18)/(-'Cash Flow Statement'!F34),"n.a."))</x:f>
        <x:v>n.a.</x:v>
      </x:c>
      <x:c r="G16" s="42" t="str">
        <x:f>IF(COUNT('Cash Flow Statement'!G18,'Cash Flow Statement'!G34)&lt;2,"n.a.",IF((-'Cash Flow Statement'!G34)&gt;0,('Cash Flow Statement'!G18)/(-'Cash Flow Statement'!G34),"n.a."))</x:f>
        <x:v>n.a.</x:v>
      </x:c>
      <x:c r="H16" s="42" t="str">
        <x:f>IF(COUNT('Cash Flow Statement'!H18,'Cash Flow Statement'!H34)&lt;2,"n.a.",IF((-'Cash Flow Statement'!H34)&gt;0,('Cash Flow Statement'!H18)/(-'Cash Flow Statement'!H34),"n.a."))</x:f>
        <x:v>n.a.</x:v>
      </x:c>
      <x:c r="I16" s="42" t="str">
        <x:f>IF(COUNT('Cash Flow Statement'!I18,'Cash Flow Statement'!I34)&lt;2,"n.a.",IF((-'Cash Flow Statement'!I34)&gt;0,('Cash Flow Statement'!I18)/(-'Cash Flow Statement'!I34),"n.a."))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CFO / dividends and interest paid</x:v>
      </x:c>
      <x:c r="D17" s="26"/>
      <x:c r="E17" s="41" t="str">
        <x:f>IF(COUNT('Cash Flow Statement'!E18,'Cash Flow Statement'!E34,'Capital Calculations'!E20)&lt;3,"n.a.",IF((-'Cash Flow Statement'!E34+'Capital Calculations'!E20)&gt;0,('Cash Flow Statement'!E18)/(-'Cash Flow Statement'!E34+'Capital Calculations'!E20),"n.a."))</x:f>
        <x:v>n.a.</x:v>
      </x:c>
      <x:c r="F17" s="41" t="str">
        <x:f>IF(COUNT('Cash Flow Statement'!F18,'Cash Flow Statement'!F34,'Capital Calculations'!F20)&lt;3,"n.a.",IF((-'Cash Flow Statement'!F34+'Capital Calculations'!F20)&gt;0,('Cash Flow Statement'!F18)/(-'Cash Flow Statement'!F34+'Capital Calculations'!F20),"n.a."))</x:f>
        <x:v>n.a.</x:v>
      </x:c>
      <x:c r="G17" s="41" t="str">
        <x:f>IF(COUNT('Cash Flow Statement'!G18,'Cash Flow Statement'!G34,'Capital Calculations'!G20)&lt;3,"n.a.",IF((-'Cash Flow Statement'!G34+'Capital Calculations'!G20)&gt;0,('Cash Flow Statement'!G18)/(-'Cash Flow Statement'!G34+'Capital Calculations'!G20),"n.a."))</x:f>
        <x:v>n.a.</x:v>
      </x:c>
      <x:c r="H17" s="41" t="str">
        <x:f>IF(COUNT('Cash Flow Statement'!H18,'Cash Flow Statement'!H34,'Capital Calculations'!H20)&lt;3,"n.a.",IF((-'Cash Flow Statement'!H34+'Capital Calculations'!H20)&gt;0,('Cash Flow Statement'!H18)/(-'Cash Flow Statement'!H34+'Capital Calculations'!H20),"n.a."))</x:f>
        <x:v>n.a.</x:v>
      </x:c>
      <x:c r="I17" s="41" t="str">
        <x:f>IF(COUNT('Cash Flow Statement'!I18,'Cash Flow Statement'!I34,'Capital Calculations'!I20)&lt;3,"n.a.",IF((-'Cash Flow Statement'!I34+'Capital Calculations'!I20)&gt;0,('Cash Flow Statement'!I18)/(-'Cash Flow Statement'!I34+'Capital Calculations'!I20),"n.a."))</x:f>
        <x:v>n.a.</x:v>
      </x:c>
      <x:c r="J17" s="2"/>
      <x:c r="K17" s="2" t="str">
        <x:v>CFO as reported; interest may already be deducted from CFO.</x:v>
      </x:c>
      <x:c r="L17" s="2"/>
      <x:c r="M17" s="2"/>
    </x:row>
    <x:row r="18" ht="23" customHeight="1">
      <x:c r="A18" s="1"/>
      <x:c r="B18" s="1"/>
      <x:c r="C18" s="20" t="str">
        <x:v>Operating cash flow / debt</x:v>
      </x:c>
      <x:c r="D18" s="21"/>
      <x:c r="E18" s="36" t="str">
        <x:f>IF(COUNT('Cash Flow Statement'!E18,'Capital Calculations'!E8)&lt;2,"n.a.",IF(('Capital Calculations'!E8)&gt;0,('Cash Flow Statement'!E18)/('Capital Calculations'!E8),"n.a."))</x:f>
        <x:v>n.a.</x:v>
      </x:c>
      <x:c r="F18" s="36" t="str">
        <x:f>IF(COUNT('Cash Flow Statement'!F18,'Capital Calculations'!F8)&lt;2,"n.a.",IF(('Capital Calculations'!F8)&gt;0,('Cash Flow Statement'!F18)/('Capital Calculations'!F8),"n.a."))</x:f>
        <x:v>n.a.</x:v>
      </x:c>
      <x:c r="G18" s="36" t="str">
        <x:f>IF(COUNT('Cash Flow Statement'!G18,'Capital Calculations'!G8)&lt;2,"n.a.",IF(('Capital Calculations'!G8)&gt;0,('Cash Flow Statement'!G18)/('Capital Calculations'!G8),"n.a."))</x:f>
        <x:v>n.a.</x:v>
      </x:c>
      <x:c r="H18" s="36" t="str">
        <x:f>IF(COUNT('Cash Flow Statement'!H18,'Capital Calculations'!H8)&lt;2,"n.a.",IF(('Capital Calculations'!H8)&gt;0,('Cash Flow Statement'!H18)/('Capital Calculations'!H8),"n.a."))</x:f>
        <x:v>n.a.</x:v>
      </x:c>
      <x:c r="I18" s="36" t="str">
        <x:f>IF(COUNT('Cash Flow Statement'!I18,'Capital Calculations'!I8)&lt;2,"n.a.",IF(('Capital Calculations'!I8)&gt;0,('Cash Flow Statement'!I18)/('Capital Calculations'!I8),"n.a."))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Accrual ratio</x:v>
      </x:c>
      <x:c r="D19" s="21"/>
      <x:c r="E19" s="37" t="str">
        <x:f>IF(COUNT('Income Statement'!E28,'Cash Flow Statement'!E18,'Capital Calculations'!E22)&lt;3,"n.a.",IF(('Capital Calculations'!E22)&gt;0,('Income Statement'!E28-'Cash Flow Statement'!E18)/('Capital Calculations'!E22),"n.a."))</x:f>
        <x:v>n.a.</x:v>
      </x:c>
      <x:c r="F19" s="37" t="str">
        <x:f>IF(COUNT('Income Statement'!F28,'Cash Flow Statement'!F18,'Capital Calculations'!F22)&lt;3,"n.a.",IF(('Capital Calculations'!F22)&gt;0,('Income Statement'!F28-'Cash Flow Statement'!F18)/('Capital Calculations'!F22),"n.a."))</x:f>
        <x:v>n.a.</x:v>
      </x:c>
      <x:c r="G19" s="37" t="str">
        <x:f>IF(COUNT('Income Statement'!G28,'Cash Flow Statement'!G18,'Capital Calculations'!G22)&lt;3,"n.a.",IF(('Capital Calculations'!G22)&gt;0,('Income Statement'!G28-'Cash Flow Statement'!G18)/('Capital Calculations'!G22),"n.a."))</x:f>
        <x:v>n.a.</x:v>
      </x:c>
      <x:c r="H19" s="37" t="str">
        <x:f>IF(COUNT('Income Statement'!H28,'Cash Flow Statement'!H18,'Capital Calculations'!H22)&lt;3,"n.a.",IF(('Capital Calculations'!H22)&gt;0,('Income Statement'!H28-'Cash Flow Statement'!H18)/('Capital Calculations'!H22),"n.a."))</x:f>
        <x:v>n.a.</x:v>
      </x:c>
      <x:c r="I19" s="37" t="str">
        <x:f>IF(COUNT('Income Statement'!I28,'Cash Flow Statement'!I18,'Capital Calculations'!I22)&lt;3,"n.a.",IF(('Capital Calculations'!I22)&gt;0,('Income Statement'!I28-'Cash Flow Statement'!I18)/('Capital Calculations'!I22),"n.a."))</x:f>
        <x:v>n.a.</x:v>
      </x:c>
      <x:c r="J19" s="2"/>
      <x:c r="K19" s="2" t="str">
        <x:v>(Net profit − CFO) / average assets. Compare across years.</x:v>
      </x:c>
      <x:c r="L19" s="2"/>
      <x:c r="M19" s="2"/>
    </x:row>
    <x:row r="20" ht="23" customHeight="1">
      <x:c r="A20" s="1"/>
      <x:c r="B20" s="1"/>
      <x:c r="C20" s="2" t="str">
        <x:v>Net change in cash including FX</x:v>
      </x:c>
      <x:c r="D20" s="15"/>
      <x:c r="E20" s="39" t="str">
        <x:f>IF(COUNT('Cash Flow Statement'!E18,'Cash Flow Statement'!E27,'Cash Flow Statement'!E37,'Cash Flow Statement'!E39)&lt;4,"n.a.",IF(TRUE,'Cash Flow Statement'!E18+'Cash Flow Statement'!E27+'Cash Flow Statement'!E37+'Cash Flow Statement'!E39,"n.a."))</x:f>
        <x:v>n.a.</x:v>
      </x:c>
      <x:c r="F20" s="39" t="str">
        <x:f>IF(COUNT('Cash Flow Statement'!F18,'Cash Flow Statement'!F27,'Cash Flow Statement'!F37,'Cash Flow Statement'!F39)&lt;4,"n.a.",IF(TRUE,'Cash Flow Statement'!F18+'Cash Flow Statement'!F27+'Cash Flow Statement'!F37+'Cash Flow Statement'!F39,"n.a."))</x:f>
        <x:v>n.a.</x:v>
      </x:c>
      <x:c r="G20" s="39" t="str">
        <x:f>IF(COUNT('Cash Flow Statement'!G18,'Cash Flow Statement'!G27,'Cash Flow Statement'!G37,'Cash Flow Statement'!G39)&lt;4,"n.a.",IF(TRUE,'Cash Flow Statement'!G18+'Cash Flow Statement'!G27+'Cash Flow Statement'!G37+'Cash Flow Statement'!G39,"n.a."))</x:f>
        <x:v>n.a.</x:v>
      </x:c>
      <x:c r="H20" s="39" t="str">
        <x:f>IF(COUNT('Cash Flow Statement'!H18,'Cash Flow Statement'!H27,'Cash Flow Statement'!H37,'Cash Flow Statement'!H39)&lt;4,"n.a.",IF(TRUE,'Cash Flow Statement'!H18+'Cash Flow Statement'!H27+'Cash Flow Statement'!H37+'Cash Flow Statement'!H39,"n.a."))</x:f>
        <x:v>n.a.</x:v>
      </x:c>
      <x:c r="I20" s="39" t="str">
        <x:f>IF(COUNT('Cash Flow Statement'!I18,'Cash Flow Statement'!I27,'Cash Flow Statement'!I37,'Cash Flow Statement'!I39)&lt;4,"n.a.",IF(TRUE,'Cash Flow Statement'!I18+'Cash Flow Statement'!I27+'Cash Flow Statement'!I37+'Cash Flow Statement'!I39,"n.a."))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" t="str">
        <x:v>Cash after capex, dividends and repurchases</x:v>
      </x:c>
      <x:c r="D21" s="15"/>
      <x:c r="E21" s="43" t="str">
        <x:f>IF(COUNT('Capital Calculations'!E19,'Cash Flow Statement'!E34,'Cash Flow Statement'!E30)&lt;3,"n.a.",IF(TRUE,'Capital Calculations'!E19+'Cash Flow Statement'!E34+'Cash Flow Statement'!E30,"n.a."))</x:f>
        <x:v>n.a.</x:v>
      </x:c>
      <x:c r="F21" s="43" t="str">
        <x:f>IF(COUNT('Capital Calculations'!F19,'Cash Flow Statement'!F34,'Cash Flow Statement'!F30)&lt;3,"n.a.",IF(TRUE,'Capital Calculations'!F19+'Cash Flow Statement'!F34+'Cash Flow Statement'!F30,"n.a."))</x:f>
        <x:v>n.a.</x:v>
      </x:c>
      <x:c r="G21" s="43" t="str">
        <x:f>IF(COUNT('Capital Calculations'!G19,'Cash Flow Statement'!G34,'Cash Flow Statement'!G30)&lt;3,"n.a.",IF(TRUE,'Capital Calculations'!G19+'Cash Flow Statement'!G34+'Cash Flow Statement'!G30,"n.a."))</x:f>
        <x:v>n.a.</x:v>
      </x:c>
      <x:c r="H21" s="43" t="str">
        <x:f>IF(COUNT('Capital Calculations'!H19,'Cash Flow Statement'!H34,'Cash Flow Statement'!H30)&lt;3,"n.a.",IF(TRUE,'Capital Calculations'!H19+'Cash Flow Statement'!H34+'Cash Flow Statement'!H30,"n.a."))</x:f>
        <x:v>n.a.</x:v>
      </x:c>
      <x:c r="I21" s="43" t="str">
        <x:f>IF(COUNT('Capital Calculations'!I19,'Cash Flow Statement'!I34,'Cash Flow Statement'!I30)&lt;3,"n.a.",IF(TRUE,'Capital Calculations'!I19+'Cash Flow Statement'!I34+'Cash Flow Statement'!I30,"n.a."))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" t="str">
        <x:v>CFO less estimated maintenance capex</x:v>
      </x:c>
      <x:c r="D22" s="15"/>
      <x:c r="E22" s="39" t="str">
        <x:f>IF(COUNT('Cash Flow Statement'!E18,'Cash Flow Statement'!E43)&lt;2,"n.a.",IF('Cash Flow Statement'!E43&gt;=0,'Cash Flow Statement'!E18-'Cash Flow Statement'!E43,"n.a."))</x:f>
        <x:v>n.a.</x:v>
      </x:c>
      <x:c r="F22" s="39" t="str">
        <x:f>IF(COUNT('Cash Flow Statement'!F18,'Cash Flow Statement'!F43)&lt;2,"n.a.",IF('Cash Flow Statement'!F43&gt;=0,'Cash Flow Statement'!F18-'Cash Flow Statement'!F43,"n.a."))</x:f>
        <x:v>n.a.</x:v>
      </x:c>
      <x:c r="G22" s="39" t="str">
        <x:f>IF(COUNT('Cash Flow Statement'!G18,'Cash Flow Statement'!G43)&lt;2,"n.a.",IF('Cash Flow Statement'!G43&gt;=0,'Cash Flow Statement'!G18-'Cash Flow Statement'!G43,"n.a."))</x:f>
        <x:v>n.a.</x:v>
      </x:c>
      <x:c r="H22" s="39" t="str">
        <x:f>IF(COUNT('Cash Flow Statement'!H18,'Cash Flow Statement'!H43)&lt;2,"n.a.",IF('Cash Flow Statement'!H43&gt;=0,'Cash Flow Statement'!H18-'Cash Flow Statement'!H43,"n.a."))</x:f>
        <x:v>n.a.</x:v>
      </x:c>
      <x:c r="I22" s="39" t="str">
        <x:f>IF(COUNT('Cash Flow Statement'!I18,'Cash Flow Statement'!I43)&lt;2,"n.a.",IF('Cash Flow Statement'!I43&gt;=0,'Cash Flow Statement'!I18-'Cash Flow Statement'!I43,"n.a."))</x:f>
        <x:v>n.a.</x:v>
      </x:c>
      <x:c r="J22" s="2"/>
      <x:c r="K22" s="2" t="str">
        <x:v>Cash proxy only; maintenance capex requires a documented estimate.</x:v>
      </x:c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Growth and Trends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Annual changes, base-year indices and CAGR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Year-on-year change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0" t="str">
        <x:v>Revenue growth</x:v>
      </x:c>
      <x:c r="D8" s="21"/>
      <x:c r="E8" s="36" t="str">
        <x:f>IF(COUNT('Income Statement'!E8,'Income Statement'!D8)&lt;2,"n.a.",IF(('Income Statement'!D8)&gt;0,('Income Statement'!E8-'Income Statement'!D8)/('Income Statement'!D8),"n.a."))</x:f>
        <x:v>n.a.</x:v>
      </x:c>
      <x:c r="F8" s="36" t="str">
        <x:f>IF(COUNT('Income Statement'!F8,'Income Statement'!E8)&lt;2,"n.a.",IF(('Income Statement'!E8)&gt;0,('Income Statement'!F8-'Income Statement'!E8)/('Income Statement'!E8),"n.a."))</x:f>
        <x:v>n.a.</x:v>
      </x:c>
      <x:c r="G8" s="36" t="str">
        <x:f>IF(COUNT('Income Statement'!G8,'Income Statement'!F8)&lt;2,"n.a.",IF(('Income Statement'!F8)&gt;0,('Income Statement'!G8-'Income Statement'!F8)/('Income Statement'!F8),"n.a."))</x:f>
        <x:v>n.a.</x:v>
      </x:c>
      <x:c r="H8" s="36" t="str">
        <x:f>IF(COUNT('Income Statement'!H8,'Income Statement'!G8)&lt;2,"n.a.",IF(('Income Statement'!G8)&gt;0,('Income Statement'!H8-'Income Statement'!G8)/('Income Statement'!G8),"n.a."))</x:f>
        <x:v>n.a.</x:v>
      </x:c>
      <x:c r="I8" s="36" t="str">
        <x:f>IF(COUNT('Income Statement'!I8,'Income Statement'!H8)&lt;2,"n.a.",IF(('Income Statement'!H8)&gt;0,('Income Statement'!I8-'Income Statement'!H8)/('Income Statement'!H8),"n.a."))</x:f>
        <x:v>n.a.</x:v>
      </x:c>
      <x:c r="J8" s="2"/>
      <x:c r="K8" s="2" t="str">
        <x:v>n.a. when the prior value is zero or negative.</x:v>
      </x:c>
      <x:c r="L8" s="2"/>
      <x:c r="M8" s="2"/>
    </x:row>
    <x:row r="9" ht="23" customHeight="1">
      <x:c r="A9" s="1"/>
      <x:c r="B9" s="1"/>
      <x:c r="C9" s="20" t="str">
        <x:v>Gross profit growth</x:v>
      </x:c>
      <x:c r="D9" s="21"/>
      <x:c r="E9" s="37" t="str">
        <x:f>IF(COUNT('Income Statement'!E10,'Income Statement'!D10)&lt;2,"n.a.",IF(('Income Statement'!D10)&gt;0,('Income Statement'!E10-'Income Statement'!D10)/('Income Statement'!D10),"n.a."))</x:f>
        <x:v>n.a.</x:v>
      </x:c>
      <x:c r="F9" s="37" t="str">
        <x:f>IF(COUNT('Income Statement'!F10,'Income Statement'!E10)&lt;2,"n.a.",IF(('Income Statement'!E10)&gt;0,('Income Statement'!F10-'Income Statement'!E10)/('Income Statement'!E10),"n.a."))</x:f>
        <x:v>n.a.</x:v>
      </x:c>
      <x:c r="G9" s="37" t="str">
        <x:f>IF(COUNT('Income Statement'!G10,'Income Statement'!F10)&lt;2,"n.a.",IF(('Income Statement'!F10)&gt;0,('Income Statement'!G10-'Income Statement'!F10)/('Income Statement'!F10),"n.a."))</x:f>
        <x:v>n.a.</x:v>
      </x:c>
      <x:c r="H9" s="37" t="str">
        <x:f>IF(COUNT('Income Statement'!H10,'Income Statement'!G10)&lt;2,"n.a.",IF(('Income Statement'!G10)&gt;0,('Income Statement'!H10-'Income Statement'!G10)/('Income Statement'!G10),"n.a."))</x:f>
        <x:v>n.a.</x:v>
      </x:c>
      <x:c r="I9" s="37" t="str">
        <x:f>IF(COUNT('Income Statement'!I10,'Income Statement'!H10)&lt;2,"n.a.",IF(('Income Statement'!H10)&gt;0,('Income Statement'!I10-'Income Statement'!H10)/('Income Statement'!H10),"n.a."))</x:f>
        <x:v>n.a.</x:v>
      </x:c>
      <x:c r="J9" s="2"/>
      <x:c r="K9" s="2" t="str">
        <x:v>n.a. when the prior value is zero or negative.</x:v>
      </x:c>
      <x:c r="L9" s="2"/>
      <x:c r="M9" s="2"/>
    </x:row>
    <x:row r="10" ht="23" customHeight="1">
      <x:c r="A10" s="1"/>
      <x:c r="B10" s="1"/>
      <x:c r="C10" s="20" t="str">
        <x:v>Operating profit growth</x:v>
      </x:c>
      <x:c r="D10" s="21"/>
      <x:c r="E10" s="36" t="str">
        <x:f>IF(COUNT('Income Statement'!E16,'Income Statement'!D16)&lt;2,"n.a.",IF(('Income Statement'!D16)&gt;0,('Income Statement'!E16-'Income Statement'!D16)/('Income Statement'!D16),"n.a."))</x:f>
        <x:v>n.a.</x:v>
      </x:c>
      <x:c r="F10" s="36" t="str">
        <x:f>IF(COUNT('Income Statement'!F16,'Income Statement'!E16)&lt;2,"n.a.",IF(('Income Statement'!E16)&gt;0,('Income Statement'!F16-'Income Statement'!E16)/('Income Statement'!E16),"n.a."))</x:f>
        <x:v>n.a.</x:v>
      </x:c>
      <x:c r="G10" s="36" t="str">
        <x:f>IF(COUNT('Income Statement'!G16,'Income Statement'!F16)&lt;2,"n.a.",IF(('Income Statement'!F16)&gt;0,('Income Statement'!G16-'Income Statement'!F16)/('Income Statement'!F16),"n.a."))</x:f>
        <x:v>n.a.</x:v>
      </x:c>
      <x:c r="H10" s="36" t="str">
        <x:f>IF(COUNT('Income Statement'!H16,'Income Statement'!G16)&lt;2,"n.a.",IF(('Income Statement'!G16)&gt;0,('Income Statement'!H16-'Income Statement'!G16)/('Income Statement'!G16),"n.a."))</x:f>
        <x:v>n.a.</x:v>
      </x:c>
      <x:c r="I10" s="36" t="str">
        <x:f>IF(COUNT('Income Statement'!I16,'Income Statement'!H16)&lt;2,"n.a.",IF(('Income Statement'!H16)&gt;0,('Income Statement'!I16-'Income Statement'!H16)/('Income Statement'!H16),"n.a."))</x:f>
        <x:v>n.a.</x:v>
      </x:c>
      <x:c r="J10" s="2"/>
      <x:c r="K10" s="2" t="str">
        <x:v>n.a. when the prior value is zero or negative.</x:v>
      </x:c>
      <x:c r="L10" s="2"/>
      <x:c r="M10" s="2"/>
    </x:row>
    <x:row r="11" ht="23" customHeight="1">
      <x:c r="A11" s="1"/>
      <x:c r="B11" s="1"/>
      <x:c r="C11" s="20" t="str">
        <x:v>EBITDA growth</x:v>
      </x:c>
      <x:c r="D11" s="21"/>
      <x:c r="E11" s="37" t="str">
        <x:f>IF(COUNT('Capital Calculations'!E16,'Capital Calculations'!D16)&lt;2,"n.a.",IF(('Capital Calculations'!D16)&gt;0,('Capital Calculations'!E16-'Capital Calculations'!D16)/('Capital Calculations'!D16),"n.a."))</x:f>
        <x:v>n.a.</x:v>
      </x:c>
      <x:c r="F11" s="37" t="str">
        <x:f>IF(COUNT('Capital Calculations'!F16,'Capital Calculations'!E16)&lt;2,"n.a.",IF(('Capital Calculations'!E16)&gt;0,('Capital Calculations'!F16-'Capital Calculations'!E16)/('Capital Calculations'!E16),"n.a."))</x:f>
        <x:v>n.a.</x:v>
      </x:c>
      <x:c r="G11" s="37" t="str">
        <x:f>IF(COUNT('Capital Calculations'!G16,'Capital Calculations'!F16)&lt;2,"n.a.",IF(('Capital Calculations'!F16)&gt;0,('Capital Calculations'!G16-'Capital Calculations'!F16)/('Capital Calculations'!F16),"n.a."))</x:f>
        <x:v>n.a.</x:v>
      </x:c>
      <x:c r="H11" s="37" t="str">
        <x:f>IF(COUNT('Capital Calculations'!H16,'Capital Calculations'!G16)&lt;2,"n.a.",IF(('Capital Calculations'!G16)&gt;0,('Capital Calculations'!H16-'Capital Calculations'!G16)/('Capital Calculations'!G16),"n.a."))</x:f>
        <x:v>n.a.</x:v>
      </x:c>
      <x:c r="I11" s="37" t="str">
        <x:f>IF(COUNT('Capital Calculations'!I16,'Capital Calculations'!H16)&lt;2,"n.a.",IF(('Capital Calculations'!H16)&gt;0,('Capital Calculations'!I16-'Capital Calculations'!H16)/('Capital Calculations'!H16),"n.a."))</x:f>
        <x:v>n.a.</x:v>
      </x:c>
      <x:c r="J11" s="2"/>
      <x:c r="K11" s="2" t="str">
        <x:v>n.a. when the prior value is zero or negative.</x:v>
      </x:c>
      <x:c r="L11" s="2"/>
      <x:c r="M11" s="2"/>
    </x:row>
    <x:row r="12" ht="23" customHeight="1">
      <x:c r="A12" s="1"/>
      <x:c r="B12" s="1"/>
      <x:c r="C12" s="20" t="str">
        <x:v>Net profit growth</x:v>
      </x:c>
      <x:c r="D12" s="21"/>
      <x:c r="E12" s="36" t="str">
        <x:f>IF(COUNT('Income Statement'!E28,'Income Statement'!D28)&lt;2,"n.a.",IF(('Income Statement'!D28)&gt;0,('Income Statement'!E28-'Income Statement'!D28)/('Income Statement'!D28),"n.a."))</x:f>
        <x:v>n.a.</x:v>
      </x:c>
      <x:c r="F12" s="36" t="str">
        <x:f>IF(COUNT('Income Statement'!F28,'Income Statement'!E28)&lt;2,"n.a.",IF(('Income Statement'!E28)&gt;0,('Income Statement'!F28-'Income Statement'!E28)/('Income Statement'!E28),"n.a."))</x:f>
        <x:v>n.a.</x:v>
      </x:c>
      <x:c r="G12" s="36" t="str">
        <x:f>IF(COUNT('Income Statement'!G28,'Income Statement'!F28)&lt;2,"n.a.",IF(('Income Statement'!F28)&gt;0,('Income Statement'!G28-'Income Statement'!F28)/('Income Statement'!F28),"n.a."))</x:f>
        <x:v>n.a.</x:v>
      </x:c>
      <x:c r="H12" s="36" t="str">
        <x:f>IF(COUNT('Income Statement'!H28,'Income Statement'!G28)&lt;2,"n.a.",IF(('Income Statement'!G28)&gt;0,('Income Statement'!H28-'Income Statement'!G28)/('Income Statement'!G28),"n.a."))</x:f>
        <x:v>n.a.</x:v>
      </x:c>
      <x:c r="I12" s="36" t="str">
        <x:f>IF(COUNT('Income Statement'!I28,'Income Statement'!H28)&lt;2,"n.a.",IF(('Income Statement'!H28)&gt;0,('Income Statement'!I28-'Income Statement'!H28)/('Income Statement'!H28),"n.a."))</x:f>
        <x:v>n.a.</x:v>
      </x:c>
      <x:c r="J12" s="2"/>
      <x:c r="K12" s="2" t="str">
        <x:v>n.a. when the prior value is zero or negative.</x:v>
      </x:c>
      <x:c r="L12" s="2"/>
      <x:c r="M12" s="2"/>
    </x:row>
    <x:row r="13" ht="23" customHeight="1">
      <x:c r="A13" s="1"/>
      <x:c r="B13" s="1"/>
      <x:c r="C13" s="20" t="str">
        <x:v>Basic EPS growth</x:v>
      </x:c>
      <x:c r="D13" s="21"/>
      <x:c r="E13" s="37" t="str">
        <x:f>IF(COUNT('Share Valuation'!E8,'Share Valuation'!D8)&lt;2,"n.a.",IF(('Share Valuation'!D8)&gt;0,('Share Valuation'!E8-'Share Valuation'!D8)/('Share Valuation'!D8),"n.a."))</x:f>
        <x:v>n.a.</x:v>
      </x:c>
      <x:c r="F13" s="37" t="str">
        <x:f>IF(COUNT('Share Valuation'!F8,'Share Valuation'!E8)&lt;2,"n.a.",IF(('Share Valuation'!E8)&gt;0,('Share Valuation'!F8-'Share Valuation'!E8)/('Share Valuation'!E8),"n.a."))</x:f>
        <x:v>n.a.</x:v>
      </x:c>
      <x:c r="G13" s="37" t="str">
        <x:f>IF(COUNT('Share Valuation'!G8,'Share Valuation'!F8)&lt;2,"n.a.",IF(('Share Valuation'!F8)&gt;0,('Share Valuation'!G8-'Share Valuation'!F8)/('Share Valuation'!F8),"n.a."))</x:f>
        <x:v>n.a.</x:v>
      </x:c>
      <x:c r="H13" s="37" t="str">
        <x:f>IF(COUNT('Share Valuation'!H8,'Share Valuation'!G8)&lt;2,"n.a.",IF(('Share Valuation'!G8)&gt;0,('Share Valuation'!H8-'Share Valuation'!G8)/('Share Valuation'!G8),"n.a."))</x:f>
        <x:v>n.a.</x:v>
      </x:c>
      <x:c r="I13" s="37" t="str">
        <x:f>IF(COUNT('Share Valuation'!I8,'Share Valuation'!H8)&lt;2,"n.a.",IF(('Share Valuation'!H8)&gt;0,('Share Valuation'!I8-'Share Valuation'!H8)/('Share Valuation'!H8),"n.a."))</x:f>
        <x:v>n.a.</x:v>
      </x:c>
      <x:c r="J13" s="2"/>
      <x:c r="K13" s="2" t="str">
        <x:v>n.a. when the prior value is zero or negative.</x:v>
      </x:c>
      <x:c r="L13" s="2"/>
      <x:c r="M13" s="2"/>
    </x:row>
    <x:row r="14" ht="23" customHeight="1">
      <x:c r="A14" s="1"/>
      <x:c r="B14" s="1"/>
      <x:c r="C14" s="20" t="str">
        <x:v>Dividend per share growth</x:v>
      </x:c>
      <x:c r="D14" s="21"/>
      <x:c r="E14" s="36" t="str">
        <x:f>IF(COUNT('Market Inputs'!E12,'Market Inputs'!D12)&lt;2,"n.a.",IF(('Market Inputs'!D12)&gt;0,('Market Inputs'!E12-'Market Inputs'!D12)/('Market Inputs'!D12),"n.a."))</x:f>
        <x:v>n.a.</x:v>
      </x:c>
      <x:c r="F14" s="36" t="str">
        <x:f>IF(COUNT('Market Inputs'!F12,'Market Inputs'!E12)&lt;2,"n.a.",IF(('Market Inputs'!E12)&gt;0,('Market Inputs'!F12-'Market Inputs'!E12)/('Market Inputs'!E12),"n.a."))</x:f>
        <x:v>n.a.</x:v>
      </x:c>
      <x:c r="G14" s="36" t="str">
        <x:f>IF(COUNT('Market Inputs'!G12,'Market Inputs'!F12)&lt;2,"n.a.",IF(('Market Inputs'!F12)&gt;0,('Market Inputs'!G12-'Market Inputs'!F12)/('Market Inputs'!F12),"n.a."))</x:f>
        <x:v>n.a.</x:v>
      </x:c>
      <x:c r="H14" s="36" t="str">
        <x:f>IF(COUNT('Market Inputs'!H12,'Market Inputs'!G12)&lt;2,"n.a.",IF(('Market Inputs'!G12)&gt;0,('Market Inputs'!H12-'Market Inputs'!G12)/('Market Inputs'!G12),"n.a."))</x:f>
        <x:v>n.a.</x:v>
      </x:c>
      <x:c r="I14" s="36" t="str">
        <x:f>IF(COUNT('Market Inputs'!I12,'Market Inputs'!H12)&lt;2,"n.a.",IF(('Market Inputs'!H12)&gt;0,('Market Inputs'!I12-'Market Inputs'!H12)/('Market Inputs'!H12),"n.a."))</x:f>
        <x:v>n.a.</x:v>
      </x:c>
      <x:c r="J14" s="2"/>
      <x:c r="K14" s="2" t="str">
        <x:v>n.a. when the prior value is zero or negative.</x:v>
      </x:c>
      <x:c r="L14" s="2"/>
      <x:c r="M14" s="2"/>
    </x:row>
    <x:row r="15" ht="23" customHeight="1">
      <x:c r="A15" s="1"/>
      <x:c r="B15" s="1"/>
      <x:c r="C15" s="20" t="str">
        <x:v>Total asset growth</x:v>
      </x:c>
      <x:c r="D15" s="21"/>
      <x:c r="E15" s="37" t="str">
        <x:f>IF(COUNT('Balance Sheet'!E29,'Balance Sheet'!D29)&lt;2,"n.a.",IF(('Balance Sheet'!D29)&gt;0,('Balance Sheet'!E29-'Balance Sheet'!D29)/('Balance Sheet'!D29),"n.a."))</x:f>
        <x:v>n.a.</x:v>
      </x:c>
      <x:c r="F15" s="37" t="str">
        <x:f>IF(COUNT('Balance Sheet'!F29,'Balance Sheet'!E29)&lt;2,"n.a.",IF(('Balance Sheet'!E29)&gt;0,('Balance Sheet'!F29-'Balance Sheet'!E29)/('Balance Sheet'!E29),"n.a."))</x:f>
        <x:v>n.a.</x:v>
      </x:c>
      <x:c r="G15" s="37" t="str">
        <x:f>IF(COUNT('Balance Sheet'!G29,'Balance Sheet'!F29)&lt;2,"n.a.",IF(('Balance Sheet'!F29)&gt;0,('Balance Sheet'!G29-'Balance Sheet'!F29)/('Balance Sheet'!F29),"n.a."))</x:f>
        <x:v>n.a.</x:v>
      </x:c>
      <x:c r="H15" s="37" t="str">
        <x:f>IF(COUNT('Balance Sheet'!H29,'Balance Sheet'!G29)&lt;2,"n.a.",IF(('Balance Sheet'!G29)&gt;0,('Balance Sheet'!H29-'Balance Sheet'!G29)/('Balance Sheet'!G29),"n.a."))</x:f>
        <x:v>n.a.</x:v>
      </x:c>
      <x:c r="I15" s="37" t="str">
        <x:f>IF(COUNT('Balance Sheet'!I29,'Balance Sheet'!H29)&lt;2,"n.a.",IF(('Balance Sheet'!H29)&gt;0,('Balance Sheet'!I29-'Balance Sheet'!H29)/('Balance Sheet'!H29),"n.a."))</x:f>
        <x:v>n.a.</x:v>
      </x:c>
      <x:c r="J15" s="2"/>
      <x:c r="K15" s="2" t="str">
        <x:v>n.a. when the prior value is zero or negative.</x:v>
      </x:c>
      <x:c r="L15" s="2"/>
      <x:c r="M15" s="2"/>
    </x:row>
    <x:row r="16" ht="23" customHeight="1">
      <x:c r="A16" s="1"/>
      <x:c r="B16" s="1"/>
      <x:c r="C16" s="20" t="str">
        <x:v>Total equity growth</x:v>
      </x:c>
      <x:c r="D16" s="21"/>
      <x:c r="E16" s="36" t="str">
        <x:f>IF(COUNT('Balance Sheet'!E52,'Balance Sheet'!D52)&lt;2,"n.a.",IF(('Balance Sheet'!D52)&gt;0,('Balance Sheet'!E52-'Balance Sheet'!D52)/('Balance Sheet'!D52),"n.a."))</x:f>
        <x:v>n.a.</x:v>
      </x:c>
      <x:c r="F16" s="36" t="str">
        <x:f>IF(COUNT('Balance Sheet'!F52,'Balance Sheet'!E52)&lt;2,"n.a.",IF(('Balance Sheet'!E52)&gt;0,('Balance Sheet'!F52-'Balance Sheet'!E52)/('Balance Sheet'!E52),"n.a."))</x:f>
        <x:v>n.a.</x:v>
      </x:c>
      <x:c r="G16" s="36" t="str">
        <x:f>IF(COUNT('Balance Sheet'!G52,'Balance Sheet'!F52)&lt;2,"n.a.",IF(('Balance Sheet'!F52)&gt;0,('Balance Sheet'!G52-'Balance Sheet'!F52)/('Balance Sheet'!F52),"n.a."))</x:f>
        <x:v>n.a.</x:v>
      </x:c>
      <x:c r="H16" s="36" t="str">
        <x:f>IF(COUNT('Balance Sheet'!H52,'Balance Sheet'!G52)&lt;2,"n.a.",IF(('Balance Sheet'!G52)&gt;0,('Balance Sheet'!H52-'Balance Sheet'!G52)/('Balance Sheet'!G52),"n.a."))</x:f>
        <x:v>n.a.</x:v>
      </x:c>
      <x:c r="I16" s="36" t="str">
        <x:f>IF(COUNT('Balance Sheet'!I52,'Balance Sheet'!H52)&lt;2,"n.a.",IF(('Balance Sheet'!H52)&gt;0,('Balance Sheet'!I52-'Balance Sheet'!H52)/('Balance Sheet'!H52),"n.a."))</x:f>
        <x:v>n.a.</x:v>
      </x:c>
      <x:c r="J16" s="2"/>
      <x:c r="K16" s="2" t="str">
        <x:v>n.a. when the prior value is zero or negative.</x:v>
      </x:c>
      <x:c r="L16" s="2"/>
      <x:c r="M16" s="2"/>
    </x:row>
    <x:row r="17" ht="23" customHeight="1">
      <x:c r="A17" s="1"/>
      <x:c r="B17" s="1"/>
      <x:c r="C17" s="20" t="str">
        <x:v>Operating cash flow growth</x:v>
      </x:c>
      <x:c r="D17" s="21"/>
      <x:c r="E17" s="37" t="str">
        <x:f>IF(COUNT('Cash Flow Statement'!E18,'Cash Flow Statement'!D18)&lt;2,"n.a.",IF(('Cash Flow Statement'!D18)&gt;0,('Cash Flow Statement'!E18-'Cash Flow Statement'!D18)/('Cash Flow Statement'!D18),"n.a."))</x:f>
        <x:v>n.a.</x:v>
      </x:c>
      <x:c r="F17" s="37" t="str">
        <x:f>IF(COUNT('Cash Flow Statement'!F18,'Cash Flow Statement'!E18)&lt;2,"n.a.",IF(('Cash Flow Statement'!E18)&gt;0,('Cash Flow Statement'!F18-'Cash Flow Statement'!E18)/('Cash Flow Statement'!E18),"n.a."))</x:f>
        <x:v>n.a.</x:v>
      </x:c>
      <x:c r="G17" s="37" t="str">
        <x:f>IF(COUNT('Cash Flow Statement'!G18,'Cash Flow Statement'!F18)&lt;2,"n.a.",IF(('Cash Flow Statement'!F18)&gt;0,('Cash Flow Statement'!G18-'Cash Flow Statement'!F18)/('Cash Flow Statement'!F18),"n.a."))</x:f>
        <x:v>n.a.</x:v>
      </x:c>
      <x:c r="H17" s="37" t="str">
        <x:f>IF(COUNT('Cash Flow Statement'!H18,'Cash Flow Statement'!G18)&lt;2,"n.a.",IF(('Cash Flow Statement'!G18)&gt;0,('Cash Flow Statement'!H18-'Cash Flow Statement'!G18)/('Cash Flow Statement'!G18),"n.a."))</x:f>
        <x:v>n.a.</x:v>
      </x:c>
      <x:c r="I17" s="37" t="str">
        <x:f>IF(COUNT('Cash Flow Statement'!I18,'Cash Flow Statement'!H18)&lt;2,"n.a.",IF(('Cash Flow Statement'!H18)&gt;0,('Cash Flow Statement'!I18-'Cash Flow Statement'!H18)/('Cash Flow Statement'!H18),"n.a."))</x:f>
        <x:v>n.a.</x:v>
      </x:c>
      <x:c r="J17" s="2"/>
      <x:c r="K17" s="2" t="str">
        <x:v>n.a. when the prior value is zero or negative.</x:v>
      </x:c>
      <x:c r="L17" s="2"/>
      <x:c r="M17" s="2"/>
    </x:row>
    <x:row r="18" ht="23" customHeight="1">
      <x:c r="A18" s="1"/>
      <x:c r="B18" s="1"/>
      <x:c r="C18" s="20" t="str">
        <x:v>Free cash flow growth</x:v>
      </x:c>
      <x:c r="D18" s="21"/>
      <x:c r="E18" s="36" t="str">
        <x:f>IF(COUNT('Capital Calculations'!E19,'Capital Calculations'!D19)&lt;2,"n.a.",IF(('Capital Calculations'!D19)&gt;0,('Capital Calculations'!E19-'Capital Calculations'!D19)/('Capital Calculations'!D19),"n.a."))</x:f>
        <x:v>n.a.</x:v>
      </x:c>
      <x:c r="F18" s="36" t="str">
        <x:f>IF(COUNT('Capital Calculations'!F19,'Capital Calculations'!E19)&lt;2,"n.a.",IF(('Capital Calculations'!E19)&gt;0,('Capital Calculations'!F19-'Capital Calculations'!E19)/('Capital Calculations'!E19),"n.a."))</x:f>
        <x:v>n.a.</x:v>
      </x:c>
      <x:c r="G18" s="36" t="str">
        <x:f>IF(COUNT('Capital Calculations'!G19,'Capital Calculations'!F19)&lt;2,"n.a.",IF(('Capital Calculations'!F19)&gt;0,('Capital Calculations'!G19-'Capital Calculations'!F19)/('Capital Calculations'!F19),"n.a."))</x:f>
        <x:v>n.a.</x:v>
      </x:c>
      <x:c r="H18" s="36" t="str">
        <x:f>IF(COUNT('Capital Calculations'!H19,'Capital Calculations'!G19)&lt;2,"n.a.",IF(('Capital Calculations'!G19)&gt;0,('Capital Calculations'!H19-'Capital Calculations'!G19)/('Capital Calculations'!G19),"n.a."))</x:f>
        <x:v>n.a.</x:v>
      </x:c>
      <x:c r="I18" s="36" t="str">
        <x:f>IF(COUNT('Capital Calculations'!I19,'Capital Calculations'!H19)&lt;2,"n.a.",IF(('Capital Calculations'!H19)&gt;0,('Capital Calculations'!I19-'Capital Calculations'!H19)/('Capital Calculations'!H19),"n.a."))</x:f>
        <x:v>n.a.</x:v>
      </x:c>
      <x:c r="J18" s="2"/>
      <x:c r="K18" s="2" t="str">
        <x:v>n.a. when the prior value is zero or negative.</x:v>
      </x:c>
      <x:c r="L18" s="2"/>
      <x:c r="M18" s="2"/>
    </x:row>
    <x:row r="19" ht="25" customHeight="1">
      <x:c r="A19" s="1"/>
      <x:c r="B19" s="1"/>
      <x:c r="C19" s="34" t="str">
        <x:v>Base year = 100</x:v>
      </x:c>
      <x:c r="D19" s="34"/>
      <x:c r="E19" s="34"/>
      <x:c r="F19" s="34"/>
      <x:c r="G19" s="34"/>
      <x:c r="H19" s="34"/>
      <x:c r="I19" s="34"/>
      <x:c r="J19" s="2"/>
      <x:c r="K19" s="2"/>
      <x:c r="L19" s="2"/>
      <x:c r="M19" s="2"/>
    </x:row>
    <x:row r="20" ht="23" customHeight="1">
      <x:c r="A20" s="1"/>
      <x:c r="B20" s="1"/>
      <x:c r="C20" s="2" t="str">
        <x:v>Revenue index</x:v>
      </x:c>
      <x:c r="D20" s="15"/>
      <x:c r="E20" s="39" t="str">
        <x:f>IF(COUNT('Income Statement'!E8,'Income Statement'!E8)&lt;2,"n.a.",IF(('Income Statement'!E8)&gt;0,(100*'Income Statement'!E8)/('Income Statement'!E8),"n.a."))</x:f>
        <x:v>n.a.</x:v>
      </x:c>
      <x:c r="F20" s="39" t="str">
        <x:f>IF(COUNT('Income Statement'!F8,'Income Statement'!E8)&lt;2,"n.a.",IF(('Income Statement'!E8)&gt;0,(100*'Income Statement'!F8)/('Income Statement'!E8),"n.a."))</x:f>
        <x:v>n.a.</x:v>
      </x:c>
      <x:c r="G20" s="39" t="str">
        <x:f>IF(COUNT('Income Statement'!G8,'Income Statement'!E8)&lt;2,"n.a.",IF(('Income Statement'!E8)&gt;0,(100*'Income Statement'!G8)/('Income Statement'!E8),"n.a."))</x:f>
        <x:v>n.a.</x:v>
      </x:c>
      <x:c r="H20" s="39" t="str">
        <x:f>IF(COUNT('Income Statement'!H8,'Income Statement'!E8)&lt;2,"n.a.",IF(('Income Statement'!E8)&gt;0,(100*'Income Statement'!H8)/('Income Statement'!E8),"n.a."))</x:f>
        <x:v>n.a.</x:v>
      </x:c>
      <x:c r="I20" s="39" t="str">
        <x:f>IF(COUNT('Income Statement'!I8,'Income Statement'!E8)&lt;2,"n.a.",IF(('Income Statement'!E8)&gt;0,(100*'Income Statement'!I8)/('Income Statement'!E8),"n.a."))</x:f>
        <x:v>n.a.</x:v>
      </x:c>
      <x:c r="J20" s="2"/>
      <x:c r="K20" s="2" t="str">
        <x:v>First displayed analysis year is the base.</x:v>
      </x:c>
      <x:c r="L20" s="2"/>
      <x:c r="M20" s="2"/>
    </x:row>
    <x:row r="21" ht="23" customHeight="1">
      <x:c r="A21" s="1"/>
      <x:c r="B21" s="1"/>
      <x:c r="C21" s="2" t="str">
        <x:v>Net profit index</x:v>
      </x:c>
      <x:c r="D21" s="15"/>
      <x:c r="E21" s="43" t="str">
        <x:f>IF(COUNT('Income Statement'!E28,'Income Statement'!E28)&lt;2,"n.a.",IF(('Income Statement'!E28)&gt;0,(100*'Income Statement'!E28)/('Income Statement'!E28),"n.a."))</x:f>
        <x:v>n.a.</x:v>
      </x:c>
      <x:c r="F21" s="43" t="str">
        <x:f>IF(COUNT('Income Statement'!F28,'Income Statement'!E28)&lt;2,"n.a.",IF(('Income Statement'!E28)&gt;0,(100*'Income Statement'!F28)/('Income Statement'!E28),"n.a."))</x:f>
        <x:v>n.a.</x:v>
      </x:c>
      <x:c r="G21" s="43" t="str">
        <x:f>IF(COUNT('Income Statement'!G28,'Income Statement'!E28)&lt;2,"n.a.",IF(('Income Statement'!E28)&gt;0,(100*'Income Statement'!G28)/('Income Statement'!E28),"n.a."))</x:f>
        <x:v>n.a.</x:v>
      </x:c>
      <x:c r="H21" s="43" t="str">
        <x:f>IF(COUNT('Income Statement'!H28,'Income Statement'!E28)&lt;2,"n.a.",IF(('Income Statement'!E28)&gt;0,(100*'Income Statement'!H28)/('Income Statement'!E28),"n.a."))</x:f>
        <x:v>n.a.</x:v>
      </x:c>
      <x:c r="I21" s="43" t="str">
        <x:f>IF(COUNT('Income Statement'!I28,'Income Statement'!E28)&lt;2,"n.a.",IF(('Income Statement'!E28)&gt;0,(100*'Income Statement'!I28)/('Income Statement'!E28),"n.a."))</x:f>
        <x:v>n.a.</x:v>
      </x:c>
      <x:c r="J21" s="2"/>
      <x:c r="K21" s="2" t="str">
        <x:v>First displayed analysis year is the base.</x:v>
      </x:c>
      <x:c r="L21" s="2"/>
      <x:c r="M21" s="2"/>
    </x:row>
    <x:row r="22" ht="23" customHeight="1">
      <x:c r="A22" s="1"/>
      <x:c r="B22" s="1"/>
      <x:c r="C22" s="2" t="str">
        <x:v>Total assets index</x:v>
      </x:c>
      <x:c r="D22" s="15"/>
      <x:c r="E22" s="39" t="str">
        <x:f>IF(COUNT('Balance Sheet'!E29,'Balance Sheet'!E29)&lt;2,"n.a.",IF(('Balance Sheet'!E29)&gt;0,(100*'Balance Sheet'!E29)/('Balance Sheet'!E29),"n.a."))</x:f>
        <x:v>n.a.</x:v>
      </x:c>
      <x:c r="F22" s="39" t="str">
        <x:f>IF(COUNT('Balance Sheet'!F29,'Balance Sheet'!E29)&lt;2,"n.a.",IF(('Balance Sheet'!E29)&gt;0,(100*'Balance Sheet'!F29)/('Balance Sheet'!E29),"n.a."))</x:f>
        <x:v>n.a.</x:v>
      </x:c>
      <x:c r="G22" s="39" t="str">
        <x:f>IF(COUNT('Balance Sheet'!G29,'Balance Sheet'!E29)&lt;2,"n.a.",IF(('Balance Sheet'!E29)&gt;0,(100*'Balance Sheet'!G29)/('Balance Sheet'!E29),"n.a."))</x:f>
        <x:v>n.a.</x:v>
      </x:c>
      <x:c r="H22" s="39" t="str">
        <x:f>IF(COUNT('Balance Sheet'!H29,'Balance Sheet'!E29)&lt;2,"n.a.",IF(('Balance Sheet'!E29)&gt;0,(100*'Balance Sheet'!H29)/('Balance Sheet'!E29),"n.a."))</x:f>
        <x:v>n.a.</x:v>
      </x:c>
      <x:c r="I22" s="39" t="str">
        <x:f>IF(COUNT('Balance Sheet'!I29,'Balance Sheet'!E29)&lt;2,"n.a.",IF(('Balance Sheet'!E29)&gt;0,(100*'Balance Sheet'!I29)/('Balance Sheet'!E29),"n.a."))</x:f>
        <x:v>n.a.</x:v>
      </x:c>
      <x:c r="J22" s="2"/>
      <x:c r="K22" s="2" t="str">
        <x:v>First displayed analysis year is the base.</x:v>
      </x:c>
      <x:c r="L22" s="2"/>
      <x:c r="M22" s="2"/>
    </x:row>
    <x:row r="23" ht="23" customHeight="1">
      <x:c r="A23" s="1"/>
      <x:c r="B23" s="1"/>
      <x:c r="C23" s="20" t="str">
        <x:v>Revenue CAGR since first analysis year</x:v>
      </x:c>
      <x:c r="D23" s="21"/>
      <x:c r="E23" s="37" t="str">
        <x:f>IF(COUNT('Income Statement'!E8,'Income Statement'!E8,E$5,E$5)&lt;4,"n.a.",IF(AND('Income Statement'!E8&gt;0,'Income Statement'!E8&gt;0,E$5&gt;E$5),('Income Statement'!E8/'Income Statement'!E8)^(1/(E$5-E$5))-1,"n.a."))</x:f>
        <x:v>n.a.</x:v>
      </x:c>
      <x:c r="F23" s="37" t="str">
        <x:f>IF(COUNT('Income Statement'!F8,'Income Statement'!E8,F$5,E$5)&lt;4,"n.a.",IF(AND('Income Statement'!F8&gt;0,'Income Statement'!E8&gt;0,F$5&gt;E$5),('Income Statement'!F8/'Income Statement'!E8)^(1/(F$5-E$5))-1,"n.a."))</x:f>
        <x:v>n.a.</x:v>
      </x:c>
      <x:c r="G23" s="37" t="str">
        <x:f>IF(COUNT('Income Statement'!G8,'Income Statement'!E8,G$5,E$5)&lt;4,"n.a.",IF(AND('Income Statement'!G8&gt;0,'Income Statement'!E8&gt;0,G$5&gt;E$5),('Income Statement'!G8/'Income Statement'!E8)^(1/(G$5-E$5))-1,"n.a."))</x:f>
        <x:v>n.a.</x:v>
      </x:c>
      <x:c r="H23" s="37" t="str">
        <x:f>IF(COUNT('Income Statement'!H8,'Income Statement'!E8,H$5,E$5)&lt;4,"n.a.",IF(AND('Income Statement'!H8&gt;0,'Income Statement'!E8&gt;0,H$5&gt;E$5),('Income Statement'!H8/'Income Statement'!E8)^(1/(H$5-E$5))-1,"n.a."))</x:f>
        <x:v>n.a.</x:v>
      </x:c>
      <x:c r="I23" s="37" t="str">
        <x:f>IF(COUNT('Income Statement'!I8,'Income Statement'!E8,I$5,E$5)&lt;4,"n.a.",IF(AND('Income Statement'!I8&gt;0,'Income Statement'!E8&gt;0,I$5&gt;E$5),('Income Statement'!I8/'Income Statement'!E8)^(1/(I$5-E$5))-1,"n.a."))</x:f>
        <x:v>n.a.</x:v>
      </x:c>
      <x:c r="J23" s="2"/>
      <x:c r="K23" s="2" t="str">
        <x:v>Requires positive endpoints and at least one year elapsed.</x:v>
      </x:c>
      <x:c r="L23" s="2"/>
      <x:c r="M23" s="2"/>
    </x:row>
    <x:row r="24" ht="23" customHeight="1">
      <x:c r="A24" s="1"/>
      <x:c r="B24" s="1"/>
      <x:c r="C24" s="20" t="str">
        <x:v>EPS CAGR since first analysis year</x:v>
      </x:c>
      <x:c r="D24" s="21"/>
      <x:c r="E24" s="36" t="str">
        <x:f>IF(COUNT('Share Valuation'!E8,'Share Valuation'!E8,E$5,E$5)&lt;4,"n.a.",IF(AND('Share Valuation'!E8&gt;0,'Share Valuation'!E8&gt;0,E$5&gt;E$5),('Share Valuation'!E8/'Share Valuation'!E8)^(1/(E$5-E$5))-1,"n.a."))</x:f>
        <x:v>n.a.</x:v>
      </x:c>
      <x:c r="F24" s="36" t="str">
        <x:f>IF(COUNT('Share Valuation'!F8,'Share Valuation'!E8,F$5,E$5)&lt;4,"n.a.",IF(AND('Share Valuation'!F8&gt;0,'Share Valuation'!E8&gt;0,F$5&gt;E$5),('Share Valuation'!F8/'Share Valuation'!E8)^(1/(F$5-E$5))-1,"n.a."))</x:f>
        <x:v>n.a.</x:v>
      </x:c>
      <x:c r="G24" s="36" t="str">
        <x:f>IF(COUNT('Share Valuation'!G8,'Share Valuation'!E8,G$5,E$5)&lt;4,"n.a.",IF(AND('Share Valuation'!G8&gt;0,'Share Valuation'!E8&gt;0,G$5&gt;E$5),('Share Valuation'!G8/'Share Valuation'!E8)^(1/(G$5-E$5))-1,"n.a."))</x:f>
        <x:v>n.a.</x:v>
      </x:c>
      <x:c r="H24" s="36" t="str">
        <x:f>IF(COUNT('Share Valuation'!H8,'Share Valuation'!E8,H$5,E$5)&lt;4,"n.a.",IF(AND('Share Valuation'!H8&gt;0,'Share Valuation'!E8&gt;0,H$5&gt;E$5),('Share Valuation'!H8/'Share Valuation'!E8)^(1/(H$5-E$5))-1,"n.a."))</x:f>
        <x:v>n.a.</x:v>
      </x:c>
      <x:c r="I24" s="36" t="str">
        <x:f>IF(COUNT('Share Valuation'!I8,'Share Valuation'!E8,I$5,E$5)&lt;4,"n.a.",IF(AND('Share Valuation'!I8&gt;0,'Share Valuation'!E8&gt;0,I$5&gt;E$5),('Share Valuation'!I8/'Share Valuation'!E8)^(1/(I$5-E$5))-1,"n.a."))</x:f>
        <x:v>n.a.</x:v>
      </x:c>
      <x:c r="J24" s="2"/>
      <x:c r="K24" s="2" t="str">
        <x:v>Requires positive endpoints and at least one year elapsed.</x:v>
      </x:c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Share Valuation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Per-share data, multiples and price estimates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Per-share and market values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" t="str">
        <x:v>Basic earnings per share, calculated</x:v>
      </x:c>
      <x:c r="D8" s="45" t="str">
        <x:f>IF(COUNT('Capital Calculations'!D15,'Setup'!$E$10,'Market Inputs'!D9,'Setup'!$E$11)&lt;4,"n.a.",IF(('Market Inputs'!D9*'Setup'!$E$11)&gt;0,('Capital Calculations'!D15*'Setup'!$E$10)/('Market Inputs'!D9*'Setup'!$E$11),"n.a."))</x:f>
        <x:v>n.a.</x:v>
      </x:c>
      <x:c r="E8" s="45" t="str">
        <x:f>IF(COUNT('Capital Calculations'!E15,'Setup'!$E$10,'Market Inputs'!E9,'Setup'!$E$11)&lt;4,"n.a.",IF(('Market Inputs'!E9*'Setup'!$E$11)&gt;0,('Capital Calculations'!E15*'Setup'!$E$10)/('Market Inputs'!E9*'Setup'!$E$11),"n.a."))</x:f>
        <x:v>n.a.</x:v>
      </x:c>
      <x:c r="F8" s="45" t="str">
        <x:f>IF(COUNT('Capital Calculations'!F15,'Setup'!$E$10,'Market Inputs'!F9,'Setup'!$E$11)&lt;4,"n.a.",IF(('Market Inputs'!F9*'Setup'!$E$11)&gt;0,('Capital Calculations'!F15*'Setup'!$E$10)/('Market Inputs'!F9*'Setup'!$E$11),"n.a."))</x:f>
        <x:v>n.a.</x:v>
      </x:c>
      <x:c r="G8" s="45" t="str">
        <x:f>IF(COUNT('Capital Calculations'!G15,'Setup'!$E$10,'Market Inputs'!G9,'Setup'!$E$11)&lt;4,"n.a.",IF(('Market Inputs'!G9*'Setup'!$E$11)&gt;0,('Capital Calculations'!G15*'Setup'!$E$10)/('Market Inputs'!G9*'Setup'!$E$11),"n.a."))</x:f>
        <x:v>n.a.</x:v>
      </x:c>
      <x:c r="H8" s="45" t="str">
        <x:f>IF(COUNT('Capital Calculations'!H15,'Setup'!$E$10,'Market Inputs'!H9,'Setup'!$E$11)&lt;4,"n.a.",IF(('Market Inputs'!H9*'Setup'!$E$11)&gt;0,('Capital Calculations'!H15*'Setup'!$E$10)/('Market Inputs'!H9*'Setup'!$E$11),"n.a."))</x:f>
        <x:v>n.a.</x:v>
      </x:c>
      <x:c r="I8" s="45" t="str">
        <x:f>IF(COUNT('Capital Calculations'!I15,'Setup'!$E$10,'Market Inputs'!I9,'Setup'!$E$11)&lt;4,"n.a.",IF(('Market Inputs'!I9*'Setup'!$E$11)&gt;0,('Capital Calculations'!I15*'Setup'!$E$10)/('Market Inputs'!I9*'Setup'!$E$11),"n.a."))</x:f>
        <x:v>n.a.</x:v>
      </x:c>
      <x:c r="J8" s="2"/>
      <x:c r="K8" s="2" t="str">
        <x:v>Common earnings / weighted-average shares, with unit conversion.</x:v>
      </x:c>
      <x:c r="L8" s="2"/>
      <x:c r="M8" s="2"/>
    </x:row>
    <x:row r="9" ht="23" customHeight="1">
      <x:c r="A9" s="1"/>
      <x:c r="B9" s="1"/>
      <x:c r="C9" s="2" t="str">
        <x:v>Diluted EPS, reported</x:v>
      </x:c>
      <x:c r="D9" s="46" t="str">
        <x:f>IF(COUNT('Market Inputs'!D11)&lt;1,"n.a.",IF(TRUE,'Market Inputs'!D11,"n.a."))</x:f>
        <x:v>n.a.</x:v>
      </x:c>
      <x:c r="E9" s="46" t="str">
        <x:f>IF(COUNT('Market Inputs'!E11)&lt;1,"n.a.",IF(TRUE,'Market Inputs'!E11,"n.a."))</x:f>
        <x:v>n.a.</x:v>
      </x:c>
      <x:c r="F9" s="46" t="str">
        <x:f>IF(COUNT('Market Inputs'!F11)&lt;1,"n.a.",IF(TRUE,'Market Inputs'!F11,"n.a."))</x:f>
        <x:v>n.a.</x:v>
      </x:c>
      <x:c r="G9" s="46" t="str">
        <x:f>IF(COUNT('Market Inputs'!G11)&lt;1,"n.a.",IF(TRUE,'Market Inputs'!G11,"n.a."))</x:f>
        <x:v>n.a.</x:v>
      </x:c>
      <x:c r="H9" s="46" t="str">
        <x:f>IF(COUNT('Market Inputs'!H11)&lt;1,"n.a.",IF(TRUE,'Market Inputs'!H11,"n.a."))</x:f>
        <x:v>n.a.</x:v>
      </x:c>
      <x:c r="I9" s="46" t="str">
        <x:f>IF(COUNT('Market Inputs'!I11)&lt;1,"n.a.",IF(TRUE,'Market Inputs'!I11,"n.a."))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" t="str">
        <x:v>Common book value per share</x:v>
      </x:c>
      <x:c r="D10" s="45" t="str">
        <x:f>IF(COUNT('Capital Calculations'!D14,'Setup'!$E$10,'Market Inputs'!D8,'Setup'!$E$11)&lt;4,"n.a.",IF(('Market Inputs'!D8*'Setup'!$E$11)&gt;0,('Capital Calculations'!D14*'Setup'!$E$10)/('Market Inputs'!D8*'Setup'!$E$11),"n.a."))</x:f>
        <x:v>n.a.</x:v>
      </x:c>
      <x:c r="E10" s="45" t="str">
        <x:f>IF(COUNT('Capital Calculations'!E14,'Setup'!$E$10,'Market Inputs'!E8,'Setup'!$E$11)&lt;4,"n.a.",IF(('Market Inputs'!E8*'Setup'!$E$11)&gt;0,('Capital Calculations'!E14*'Setup'!$E$10)/('Market Inputs'!E8*'Setup'!$E$11),"n.a."))</x:f>
        <x:v>n.a.</x:v>
      </x:c>
      <x:c r="F10" s="45" t="str">
        <x:f>IF(COUNT('Capital Calculations'!F14,'Setup'!$E$10,'Market Inputs'!F8,'Setup'!$E$11)&lt;4,"n.a.",IF(('Market Inputs'!F8*'Setup'!$E$11)&gt;0,('Capital Calculations'!F14*'Setup'!$E$10)/('Market Inputs'!F8*'Setup'!$E$11),"n.a."))</x:f>
        <x:v>n.a.</x:v>
      </x:c>
      <x:c r="G10" s="45" t="str">
        <x:f>IF(COUNT('Capital Calculations'!G14,'Setup'!$E$10,'Market Inputs'!G8,'Setup'!$E$11)&lt;4,"n.a.",IF(('Market Inputs'!G8*'Setup'!$E$11)&gt;0,('Capital Calculations'!G14*'Setup'!$E$10)/('Market Inputs'!G8*'Setup'!$E$11),"n.a."))</x:f>
        <x:v>n.a.</x:v>
      </x:c>
      <x:c r="H10" s="45" t="str">
        <x:f>IF(COUNT('Capital Calculations'!H14,'Setup'!$E$10,'Market Inputs'!H8,'Setup'!$E$11)&lt;4,"n.a.",IF(('Market Inputs'!H8*'Setup'!$E$11)&gt;0,('Capital Calculations'!H14*'Setup'!$E$10)/('Market Inputs'!H8*'Setup'!$E$11),"n.a."))</x:f>
        <x:v>n.a.</x:v>
      </x:c>
      <x:c r="I10" s="45" t="str">
        <x:f>IF(COUNT('Capital Calculations'!I14,'Setup'!$E$10,'Market Inputs'!I8,'Setup'!$E$11)&lt;4,"n.a.",IF(('Market Inputs'!I8*'Setup'!$E$11)&gt;0,('Capital Calculations'!I14*'Setup'!$E$10)/('Market Inputs'!I8*'Setup'!$E$11),"n.a."))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" t="str">
        <x:v>Tangible common book value per share</x:v>
      </x:c>
      <x:c r="D11" s="46" t="str">
        <x:f>IF(COUNT('Capital Calculations'!D14,'Balance Sheet'!D21,'Balance Sheet'!D22,'Setup'!$E$10,'Market Inputs'!D8,'Setup'!$E$11)&lt;6,"n.a.",IF(('Market Inputs'!D8*'Setup'!$E$11)&gt;0,(('Capital Calculations'!D14-'Balance Sheet'!D21-'Balance Sheet'!D22)*'Setup'!$E$10)/('Market Inputs'!D8*'Setup'!$E$11),"n.a."))</x:f>
        <x:v>n.a.</x:v>
      </x:c>
      <x:c r="E11" s="46" t="str">
        <x:f>IF(COUNT('Capital Calculations'!E14,'Balance Sheet'!E21,'Balance Sheet'!E22,'Setup'!$E$10,'Market Inputs'!E8,'Setup'!$E$11)&lt;6,"n.a.",IF(('Market Inputs'!E8*'Setup'!$E$11)&gt;0,(('Capital Calculations'!E14-'Balance Sheet'!E21-'Balance Sheet'!E22)*'Setup'!$E$10)/('Market Inputs'!E8*'Setup'!$E$11),"n.a."))</x:f>
        <x:v>n.a.</x:v>
      </x:c>
      <x:c r="F11" s="46" t="str">
        <x:f>IF(COUNT('Capital Calculations'!F14,'Balance Sheet'!F21,'Balance Sheet'!F22,'Setup'!$E$10,'Market Inputs'!F8,'Setup'!$E$11)&lt;6,"n.a.",IF(('Market Inputs'!F8*'Setup'!$E$11)&gt;0,(('Capital Calculations'!F14-'Balance Sheet'!F21-'Balance Sheet'!F22)*'Setup'!$E$10)/('Market Inputs'!F8*'Setup'!$E$11),"n.a."))</x:f>
        <x:v>n.a.</x:v>
      </x:c>
      <x:c r="G11" s="46" t="str">
        <x:f>IF(COUNT('Capital Calculations'!G14,'Balance Sheet'!G21,'Balance Sheet'!G22,'Setup'!$E$10,'Market Inputs'!G8,'Setup'!$E$11)&lt;6,"n.a.",IF(('Market Inputs'!G8*'Setup'!$E$11)&gt;0,(('Capital Calculations'!G14-'Balance Sheet'!G21-'Balance Sheet'!G22)*'Setup'!$E$10)/('Market Inputs'!G8*'Setup'!$E$11),"n.a."))</x:f>
        <x:v>n.a.</x:v>
      </x:c>
      <x:c r="H11" s="46" t="str">
        <x:f>IF(COUNT('Capital Calculations'!H14,'Balance Sheet'!H21,'Balance Sheet'!H22,'Setup'!$E$10,'Market Inputs'!H8,'Setup'!$E$11)&lt;6,"n.a.",IF(('Market Inputs'!H8*'Setup'!$E$11)&gt;0,(('Capital Calculations'!H14-'Balance Sheet'!H21-'Balance Sheet'!H22)*'Setup'!$E$10)/('Market Inputs'!H8*'Setup'!$E$11),"n.a."))</x:f>
        <x:v>n.a.</x:v>
      </x:c>
      <x:c r="I11" s="46" t="str">
        <x:f>IF(COUNT('Capital Calculations'!I14,'Balance Sheet'!I21,'Balance Sheet'!I22,'Setup'!$E$10,'Market Inputs'!I8,'Setup'!$E$11)&lt;6,"n.a.",IF(('Market Inputs'!I8*'Setup'!$E$11)&gt;0,(('Capital Calculations'!I14-'Balance Sheet'!I21-'Balance Sheet'!I22)*'Setup'!$E$10)/('Market Inputs'!I8*'Setup'!$E$11),"n.a."))</x:f>
        <x:v>n.a.</x:v>
      </x:c>
      <x:c r="J11" s="2"/>
      <x:c r="K11" s="2" t="str">
        <x:v>Subtracts group goodwill and intangibles; consider NCI allocation if material.</x:v>
      </x:c>
      <x:c r="L11" s="2"/>
      <x:c r="M11" s="2"/>
    </x:row>
    <x:row r="12" ht="23" customHeight="1">
      <x:c r="A12" s="1"/>
      <x:c r="B12" s="1"/>
      <x:c r="C12" s="2" t="str">
        <x:v>Common equity market capitalisation</x:v>
      </x:c>
      <x:c r="D12" s="39" t="str">
        <x:f>IF(COUNT('Market Inputs'!D7,'Market Inputs'!D8,'Setup'!$E$11,'Setup'!$E$10)&lt;4,"n.a.",IF(AND('Market Inputs'!D7&gt;0,'Market Inputs'!D8&gt;0,'Setup'!$E$10&gt;0,'Setup'!$E$11&gt;0),'Market Inputs'!D7*'Market Inputs'!D8*'Setup'!$E$11/'Setup'!$E$10,"n.a."))</x:f>
        <x:v>n.a.</x:v>
      </x:c>
      <x:c r="E12" s="39" t="str">
        <x:f>IF(COUNT('Market Inputs'!E7,'Market Inputs'!E8,'Setup'!$E$11,'Setup'!$E$10)&lt;4,"n.a.",IF(AND('Market Inputs'!E7&gt;0,'Market Inputs'!E8&gt;0,'Setup'!$E$10&gt;0,'Setup'!$E$11&gt;0),'Market Inputs'!E7*'Market Inputs'!E8*'Setup'!$E$11/'Setup'!$E$10,"n.a."))</x:f>
        <x:v>n.a.</x:v>
      </x:c>
      <x:c r="F12" s="39" t="str">
        <x:f>IF(COUNT('Market Inputs'!F7,'Market Inputs'!F8,'Setup'!$E$11,'Setup'!$E$10)&lt;4,"n.a.",IF(AND('Market Inputs'!F7&gt;0,'Market Inputs'!F8&gt;0,'Setup'!$E$10&gt;0,'Setup'!$E$11&gt;0),'Market Inputs'!F7*'Market Inputs'!F8*'Setup'!$E$11/'Setup'!$E$10,"n.a."))</x:f>
        <x:v>n.a.</x:v>
      </x:c>
      <x:c r="G12" s="39" t="str">
        <x:f>IF(COUNT('Market Inputs'!G7,'Market Inputs'!G8,'Setup'!$E$11,'Setup'!$E$10)&lt;4,"n.a.",IF(AND('Market Inputs'!G7&gt;0,'Market Inputs'!G8&gt;0,'Setup'!$E$10&gt;0,'Setup'!$E$11&gt;0),'Market Inputs'!G7*'Market Inputs'!G8*'Setup'!$E$11/'Setup'!$E$10,"n.a."))</x:f>
        <x:v>n.a.</x:v>
      </x:c>
      <x:c r="H12" s="39" t="str">
        <x:f>IF(COUNT('Market Inputs'!H7,'Market Inputs'!H8,'Setup'!$E$11,'Setup'!$E$10)&lt;4,"n.a.",IF(AND('Market Inputs'!H7&gt;0,'Market Inputs'!H8&gt;0,'Setup'!$E$10&gt;0,'Setup'!$E$11&gt;0),'Market Inputs'!H7*'Market Inputs'!H8*'Setup'!$E$11/'Setup'!$E$10,"n.a."))</x:f>
        <x:v>n.a.</x:v>
      </x:c>
      <x:c r="I12" s="39" t="str">
        <x:f>IF(COUNT('Market Inputs'!I7,'Market Inputs'!I8,'Setup'!$E$11,'Setup'!$E$10)&lt;4,"n.a.",IF(AND('Market Inputs'!I7&gt;0,'Market Inputs'!I8&gt;0,'Setup'!$E$10&gt;0,'Setup'!$E$11&gt;0),'Market Inputs'!I7*'Market Inputs'!I8*'Setup'!$E$11/'Setup'!$E$10,"n.a."))</x:f>
        <x:v>n.a.</x:v>
      </x:c>
      <x:c r="J12" s="2"/>
      <x:c r="K12" s="2" t="str">
        <x:v>Price × closing shares; shown in monetary input scale.</x:v>
      </x:c>
      <x:c r="L12" s="2"/>
      <x:c r="M12" s="2"/>
    </x:row>
    <x:row r="13" ht="23" customHeight="1">
      <x:c r="A13" s="1"/>
      <x:c r="B13" s="1"/>
      <x:c r="C13" s="2" t="str">
        <x:v>Enterprise value (EV)</x:v>
      </x:c>
      <x:c r="D13" s="43" t="str">
        <x:f>IF(COUNT('Share Valuation'!D12,'Capital Calculations'!D9,'Market Inputs'!D15,'Market Inputs'!D16)&lt;4,"n.a.",IF(TRUE,'Share Valuation'!D12+'Capital Calculations'!D9+'Market Inputs'!D15+'Market Inputs'!D16,"n.a."))</x:f>
        <x:v>n.a.</x:v>
      </x:c>
      <x:c r="E13" s="43" t="str">
        <x:f>IF(COUNT('Share Valuation'!E12,'Capital Calculations'!E9,'Market Inputs'!E15,'Market Inputs'!E16)&lt;4,"n.a.",IF(TRUE,'Share Valuation'!E12+'Capital Calculations'!E9+'Market Inputs'!E15+'Market Inputs'!E16,"n.a."))</x:f>
        <x:v>n.a.</x:v>
      </x:c>
      <x:c r="F13" s="43" t="str">
        <x:f>IF(COUNT('Share Valuation'!F12,'Capital Calculations'!F9,'Market Inputs'!F15,'Market Inputs'!F16)&lt;4,"n.a.",IF(TRUE,'Share Valuation'!F12+'Capital Calculations'!F9+'Market Inputs'!F15+'Market Inputs'!F16,"n.a."))</x:f>
        <x:v>n.a.</x:v>
      </x:c>
      <x:c r="G13" s="43" t="str">
        <x:f>IF(COUNT('Share Valuation'!G12,'Capital Calculations'!G9,'Market Inputs'!G15,'Market Inputs'!G16)&lt;4,"n.a.",IF(TRUE,'Share Valuation'!G12+'Capital Calculations'!G9+'Market Inputs'!G15+'Market Inputs'!G16,"n.a."))</x:f>
        <x:v>n.a.</x:v>
      </x:c>
      <x:c r="H13" s="43" t="str">
        <x:f>IF(COUNT('Share Valuation'!H12,'Capital Calculations'!H9,'Market Inputs'!H15,'Market Inputs'!H16)&lt;4,"n.a.",IF(TRUE,'Share Valuation'!H12+'Capital Calculations'!H9+'Market Inputs'!H15+'Market Inputs'!H16,"n.a."))</x:f>
        <x:v>n.a.</x:v>
      </x:c>
      <x:c r="I13" s="43" t="str">
        <x:f>IF(COUNT('Share Valuation'!I12,'Capital Calculations'!I9,'Market Inputs'!I15,'Market Inputs'!I16)&lt;4,"n.a.",IF(TRUE,'Share Valuation'!I12+'Capital Calculations'!I9+'Market Inputs'!I15+'Market Inputs'!I16,"n.a."))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" t="str">
        <x:v>Market capitalisation + debt + preferred equity</x:v>
      </x:c>
      <x:c r="D14" s="39" t="str">
        <x:f>IF(COUNT('Share Valuation'!D12,'Capital Calculations'!D8,'Market Inputs'!D15)&lt;3,"n.a.",IF(TRUE,'Share Valuation'!D12+'Capital Calculations'!D8+'Market Inputs'!D15,"n.a."))</x:f>
        <x:v>n.a.</x:v>
      </x:c>
      <x:c r="E14" s="39" t="str">
        <x:f>IF(COUNT('Share Valuation'!E12,'Capital Calculations'!E8,'Market Inputs'!E15)&lt;3,"n.a.",IF(TRUE,'Share Valuation'!E12+'Capital Calculations'!E8+'Market Inputs'!E15,"n.a."))</x:f>
        <x:v>n.a.</x:v>
      </x:c>
      <x:c r="F14" s="39" t="str">
        <x:f>IF(COUNT('Share Valuation'!F12,'Capital Calculations'!F8,'Market Inputs'!F15)&lt;3,"n.a.",IF(TRUE,'Share Valuation'!F12+'Capital Calculations'!F8+'Market Inputs'!F15,"n.a."))</x:f>
        <x:v>n.a.</x:v>
      </x:c>
      <x:c r="G14" s="39" t="str">
        <x:f>IF(COUNT('Share Valuation'!G12,'Capital Calculations'!G8,'Market Inputs'!G15)&lt;3,"n.a.",IF(TRUE,'Share Valuation'!G12+'Capital Calculations'!G8+'Market Inputs'!G15,"n.a."))</x:f>
        <x:v>n.a.</x:v>
      </x:c>
      <x:c r="H14" s="39" t="str">
        <x:f>IF(COUNT('Share Valuation'!H12,'Capital Calculations'!H8,'Market Inputs'!H15)&lt;3,"n.a.",IF(TRUE,'Share Valuation'!H12+'Capital Calculations'!H8+'Market Inputs'!H15,"n.a."))</x:f>
        <x:v>n.a.</x:v>
      </x:c>
      <x:c r="I14" s="39" t="str">
        <x:f>IF(COUNT('Share Valuation'!I12,'Capital Calculations'!I8,'Market Inputs'!I15)&lt;3,"n.a.",IF(TRUE,'Share Valuation'!I12+'Capital Calculations'!I8+'Market Inputs'!I15,"n.a."))</x:f>
        <x:v>n.a.</x:v>
      </x:c>
      <x:c r="J14" s="2"/>
      <x:c r="K14" s="2" t="str">
        <x:v>Gross market capitalisation measure; distinct from EV.</x:v>
      </x:c>
      <x:c r="L14" s="2"/>
      <x:c r="M14" s="2"/>
    </x:row>
    <x:row r="15" ht="25" customHeight="1">
      <x:c r="A15" s="1"/>
      <x:c r="B15" s="1"/>
      <x:c r="C15" s="34" t="str">
        <x:v>Valuation multiples and yields</x:v>
      </x:c>
      <x:c r="D15" s="34"/>
      <x:c r="E15" s="34"/>
      <x:c r="F15" s="34"/>
      <x:c r="G15" s="34"/>
      <x:c r="H15" s="34"/>
      <x:c r="I15" s="34"/>
      <x:c r="J15" s="2"/>
      <x:c r="K15" s="2"/>
      <x:c r="L15" s="2"/>
      <x:c r="M15" s="2"/>
    </x:row>
    <x:row r="16" ht="23" customHeight="1">
      <x:c r="A16" s="1"/>
      <x:c r="B16" s="1"/>
      <x:c r="C16" s="20" t="str">
        <x:v>Price / basic EPS (P/E)</x:v>
      </x:c>
      <x:c r="D16" s="42" t="str">
        <x:f>IF(COUNT('Market Inputs'!D7,'Share Valuation'!D8)&lt;2,"n.a.",IF(('Share Valuation'!D8)&gt;0,('Market Inputs'!D7)/('Share Valuation'!D8),"n.a."))</x:f>
        <x:v>n.a.</x:v>
      </x:c>
      <x:c r="E16" s="42" t="str">
        <x:f>IF(COUNT('Market Inputs'!E7,'Share Valuation'!E8)&lt;2,"n.a.",IF(('Share Valuation'!E8)&gt;0,('Market Inputs'!E7)/('Share Valuation'!E8),"n.a."))</x:f>
        <x:v>n.a.</x:v>
      </x:c>
      <x:c r="F16" s="42" t="str">
        <x:f>IF(COUNT('Market Inputs'!F7,'Share Valuation'!F8)&lt;2,"n.a.",IF(('Share Valuation'!F8)&gt;0,('Market Inputs'!F7)/('Share Valuation'!F8),"n.a."))</x:f>
        <x:v>n.a.</x:v>
      </x:c>
      <x:c r="G16" s="42" t="str">
        <x:f>IF(COUNT('Market Inputs'!G7,'Share Valuation'!G8)&lt;2,"n.a.",IF(('Share Valuation'!G8)&gt;0,('Market Inputs'!G7)/('Share Valuation'!G8),"n.a."))</x:f>
        <x:v>n.a.</x:v>
      </x:c>
      <x:c r="H16" s="42" t="str">
        <x:f>IF(COUNT('Market Inputs'!H7,'Share Valuation'!H8)&lt;2,"n.a.",IF(('Share Valuation'!H8)&gt;0,('Market Inputs'!H7)/('Share Valuation'!H8),"n.a."))</x:f>
        <x:v>n.a.</x:v>
      </x:c>
      <x:c r="I16" s="42" t="str">
        <x:f>IF(COUNT('Market Inputs'!I7,'Share Valuation'!I8)&lt;2,"n.a.",IF(('Share Valuation'!I8)&gt;0,('Market Inputs'!I7)/('Share Valuation'!I8),"n.a."))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Price / book value (P/B)</x:v>
      </x:c>
      <x:c r="D17" s="41" t="str">
        <x:f>IF(COUNT('Market Inputs'!D7,'Share Valuation'!D10)&lt;2,"n.a.",IF(('Share Valuation'!D10)&gt;0,('Market Inputs'!D7)/('Share Valuation'!D10),"n.a."))</x:f>
        <x:v>n.a.</x:v>
      </x:c>
      <x:c r="E17" s="41" t="str">
        <x:f>IF(COUNT('Market Inputs'!E7,'Share Valuation'!E10)&lt;2,"n.a.",IF(('Share Valuation'!E10)&gt;0,('Market Inputs'!E7)/('Share Valuation'!E10),"n.a."))</x:f>
        <x:v>n.a.</x:v>
      </x:c>
      <x:c r="F17" s="41" t="str">
        <x:f>IF(COUNT('Market Inputs'!F7,'Share Valuation'!F10)&lt;2,"n.a.",IF(('Share Valuation'!F10)&gt;0,('Market Inputs'!F7)/('Share Valuation'!F10),"n.a."))</x:f>
        <x:v>n.a.</x:v>
      </x:c>
      <x:c r="G17" s="41" t="str">
        <x:f>IF(COUNT('Market Inputs'!G7,'Share Valuation'!G10)&lt;2,"n.a.",IF(('Share Valuation'!G10)&gt;0,('Market Inputs'!G7)/('Share Valuation'!G10),"n.a."))</x:f>
        <x:v>n.a.</x:v>
      </x:c>
      <x:c r="H17" s="41" t="str">
        <x:f>IF(COUNT('Market Inputs'!H7,'Share Valuation'!H10)&lt;2,"n.a.",IF(('Share Valuation'!H10)&gt;0,('Market Inputs'!H7)/('Share Valuation'!H10),"n.a."))</x:f>
        <x:v>n.a.</x:v>
      </x:c>
      <x:c r="I17" s="41" t="str">
        <x:f>IF(COUNT('Market Inputs'!I7,'Share Valuation'!I10)&lt;2,"n.a.",IF(('Share Valuation'!I10)&gt;0,('Market Inputs'!I7)/('Share Valuation'!I10),"n.a."))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0" t="str">
        <x:v>Price / tangible book value</x:v>
      </x:c>
      <x:c r="D18" s="42" t="str">
        <x:f>IF(COUNT('Market Inputs'!D7,'Share Valuation'!D11)&lt;2,"n.a.",IF(('Share Valuation'!D11)&gt;0,('Market Inputs'!D7)/('Share Valuation'!D11),"n.a."))</x:f>
        <x:v>n.a.</x:v>
      </x:c>
      <x:c r="E18" s="42" t="str">
        <x:f>IF(COUNT('Market Inputs'!E7,'Share Valuation'!E11)&lt;2,"n.a.",IF(('Share Valuation'!E11)&gt;0,('Market Inputs'!E7)/('Share Valuation'!E11),"n.a."))</x:f>
        <x:v>n.a.</x:v>
      </x:c>
      <x:c r="F18" s="42" t="str">
        <x:f>IF(COUNT('Market Inputs'!F7,'Share Valuation'!F11)&lt;2,"n.a.",IF(('Share Valuation'!F11)&gt;0,('Market Inputs'!F7)/('Share Valuation'!F11),"n.a."))</x:f>
        <x:v>n.a.</x:v>
      </x:c>
      <x:c r="G18" s="42" t="str">
        <x:f>IF(COUNT('Market Inputs'!G7,'Share Valuation'!G11)&lt;2,"n.a.",IF(('Share Valuation'!G11)&gt;0,('Market Inputs'!G7)/('Share Valuation'!G11),"n.a."))</x:f>
        <x:v>n.a.</x:v>
      </x:c>
      <x:c r="H18" s="42" t="str">
        <x:f>IF(COUNT('Market Inputs'!H7,'Share Valuation'!H11)&lt;2,"n.a.",IF(('Share Valuation'!H11)&gt;0,('Market Inputs'!H7)/('Share Valuation'!H11),"n.a."))</x:f>
        <x:v>n.a.</x:v>
      </x:c>
      <x:c r="I18" s="42" t="str">
        <x:f>IF(COUNT('Market Inputs'!I7,'Share Valuation'!I11)&lt;2,"n.a.",IF(('Share Valuation'!I11)&gt;0,('Market Inputs'!I7)/('Share Valuation'!I11),"n.a."))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Market capitalisation / revenue</x:v>
      </x:c>
      <x:c r="D19" s="41" t="str">
        <x:f>IF(COUNT('Share Valuation'!D12,'Income Statement'!D8)&lt;2,"n.a.",IF(('Income Statement'!D8)&gt;0,('Share Valuation'!D12)/('Income Statement'!D8),"n.a."))</x:f>
        <x:v>n.a.</x:v>
      </x:c>
      <x:c r="E19" s="41" t="str">
        <x:f>IF(COUNT('Share Valuation'!E12,'Income Statement'!E8)&lt;2,"n.a.",IF(('Income Statement'!E8)&gt;0,('Share Valuation'!E12)/('Income Statement'!E8),"n.a."))</x:f>
        <x:v>n.a.</x:v>
      </x:c>
      <x:c r="F19" s="41" t="str">
        <x:f>IF(COUNT('Share Valuation'!F12,'Income Statement'!F8)&lt;2,"n.a.",IF(('Income Statement'!F8)&gt;0,('Share Valuation'!F12)/('Income Statement'!F8),"n.a."))</x:f>
        <x:v>n.a.</x:v>
      </x:c>
      <x:c r="G19" s="41" t="str">
        <x:f>IF(COUNT('Share Valuation'!G12,'Income Statement'!G8)&lt;2,"n.a.",IF(('Income Statement'!G8)&gt;0,('Share Valuation'!G12)/('Income Statement'!G8),"n.a."))</x:f>
        <x:v>n.a.</x:v>
      </x:c>
      <x:c r="H19" s="41" t="str">
        <x:f>IF(COUNT('Share Valuation'!H12,'Income Statement'!H8)&lt;2,"n.a.",IF(('Income Statement'!H8)&gt;0,('Share Valuation'!H12)/('Income Statement'!H8),"n.a."))</x:f>
        <x:v>n.a.</x:v>
      </x:c>
      <x:c r="I19" s="41" t="str">
        <x:f>IF(COUNT('Share Valuation'!I12,'Income Statement'!I8)&lt;2,"n.a.",IF(('Income Statement'!I8)&gt;0,('Share Valuation'!I12)/('Income Statement'!I8),"n.a."))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EV / EBITDA</x:v>
      </x:c>
      <x:c r="D20" s="42" t="str">
        <x:f>IF(COUNT('Share Valuation'!D13,'Capital Calculations'!D16)&lt;2,"n.a.",IF(('Capital Calculations'!D16)&gt;0,('Share Valuation'!D13)/('Capital Calculations'!D16),"n.a."))</x:f>
        <x:v>n.a.</x:v>
      </x:c>
      <x:c r="E20" s="42" t="str">
        <x:f>IF(COUNT('Share Valuation'!E13,'Capital Calculations'!E16)&lt;2,"n.a.",IF(('Capital Calculations'!E16)&gt;0,('Share Valuation'!E13)/('Capital Calculations'!E16),"n.a."))</x:f>
        <x:v>n.a.</x:v>
      </x:c>
      <x:c r="F20" s="42" t="str">
        <x:f>IF(COUNT('Share Valuation'!F13,'Capital Calculations'!F16)&lt;2,"n.a.",IF(('Capital Calculations'!F16)&gt;0,('Share Valuation'!F13)/('Capital Calculations'!F16),"n.a."))</x:f>
        <x:v>n.a.</x:v>
      </x:c>
      <x:c r="G20" s="42" t="str">
        <x:f>IF(COUNT('Share Valuation'!G13,'Capital Calculations'!G16)&lt;2,"n.a.",IF(('Capital Calculations'!G16)&gt;0,('Share Valuation'!G13)/('Capital Calculations'!G16),"n.a."))</x:f>
        <x:v>n.a.</x:v>
      </x:c>
      <x:c r="H20" s="42" t="str">
        <x:f>IF(COUNT('Share Valuation'!H13,'Capital Calculations'!H16)&lt;2,"n.a.",IF(('Capital Calculations'!H16)&gt;0,('Share Valuation'!H13)/('Capital Calculations'!H16),"n.a."))</x:f>
        <x:v>n.a.</x:v>
      </x:c>
      <x:c r="I20" s="42" t="str">
        <x:f>IF(COUNT('Share Valuation'!I13,'Capital Calculations'!I16)&lt;2,"n.a.",IF(('Capital Calculations'!I16)&gt;0,('Share Valuation'!I13)/('Capital Calculations'!I16),"n.a."))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EV / EBIT</x:v>
      </x:c>
      <x:c r="D21" s="41" t="str">
        <x:f>IF(COUNT('Share Valuation'!D13,'Income Statement'!D16)&lt;2,"n.a.",IF(('Income Statement'!D16)&gt;0,('Share Valuation'!D13)/('Income Statement'!D16),"n.a."))</x:f>
        <x:v>n.a.</x:v>
      </x:c>
      <x:c r="E21" s="41" t="str">
        <x:f>IF(COUNT('Share Valuation'!E13,'Income Statement'!E16)&lt;2,"n.a.",IF(('Income Statement'!E16)&gt;0,('Share Valuation'!E13)/('Income Statement'!E16),"n.a."))</x:f>
        <x:v>n.a.</x:v>
      </x:c>
      <x:c r="F21" s="41" t="str">
        <x:f>IF(COUNT('Share Valuation'!F13,'Income Statement'!F16)&lt;2,"n.a.",IF(('Income Statement'!F16)&gt;0,('Share Valuation'!F13)/('Income Statement'!F16),"n.a."))</x:f>
        <x:v>n.a.</x:v>
      </x:c>
      <x:c r="G21" s="41" t="str">
        <x:f>IF(COUNT('Share Valuation'!G13,'Income Statement'!G16)&lt;2,"n.a.",IF(('Income Statement'!G16)&gt;0,('Share Valuation'!G13)/('Income Statement'!G16),"n.a."))</x:f>
        <x:v>n.a.</x:v>
      </x:c>
      <x:c r="H21" s="41" t="str">
        <x:f>IF(COUNT('Share Valuation'!H13,'Income Statement'!H16)&lt;2,"n.a.",IF(('Income Statement'!H16)&gt;0,('Share Valuation'!H13)/('Income Statement'!H16),"n.a."))</x:f>
        <x:v>n.a.</x:v>
      </x:c>
      <x:c r="I21" s="41" t="str">
        <x:f>IF(COUNT('Share Valuation'!I13,'Income Statement'!I16)&lt;2,"n.a.",IF(('Income Statement'!I16)&gt;0,('Share Valuation'!I13)/('Income Statement'!I16),"n.a."))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EV / sales</x:v>
      </x:c>
      <x:c r="D22" s="42" t="str">
        <x:f>IF(COUNT('Share Valuation'!D13,'Income Statement'!D8)&lt;2,"n.a.",IF(('Income Statement'!D8)&gt;0,('Share Valuation'!D13)/('Income Statement'!D8),"n.a."))</x:f>
        <x:v>n.a.</x:v>
      </x:c>
      <x:c r="E22" s="42" t="str">
        <x:f>IF(COUNT('Share Valuation'!E13,'Income Statement'!E8)&lt;2,"n.a.",IF(('Income Statement'!E8)&gt;0,('Share Valuation'!E13)/('Income Statement'!E8),"n.a."))</x:f>
        <x:v>n.a.</x:v>
      </x:c>
      <x:c r="F22" s="42" t="str">
        <x:f>IF(COUNT('Share Valuation'!F13,'Income Statement'!F8)&lt;2,"n.a.",IF(('Income Statement'!F8)&gt;0,('Share Valuation'!F13)/('Income Statement'!F8),"n.a."))</x:f>
        <x:v>n.a.</x:v>
      </x:c>
      <x:c r="G22" s="42" t="str">
        <x:f>IF(COUNT('Share Valuation'!G13,'Income Statement'!G8)&lt;2,"n.a.",IF(('Income Statement'!G8)&gt;0,('Share Valuation'!G13)/('Income Statement'!G8),"n.a."))</x:f>
        <x:v>n.a.</x:v>
      </x:c>
      <x:c r="H22" s="42" t="str">
        <x:f>IF(COUNT('Share Valuation'!H13,'Income Statement'!H8)&lt;2,"n.a.",IF(('Income Statement'!H8)&gt;0,('Share Valuation'!H13)/('Income Statement'!H8),"n.a."))</x:f>
        <x:v>n.a.</x:v>
      </x:c>
      <x:c r="I22" s="42" t="str">
        <x:f>IF(COUNT('Share Valuation'!I13,'Income Statement'!I8)&lt;2,"n.a.",IF(('Income Statement'!I8)&gt;0,('Share Valuation'!I13)/('Income Statement'!I8),"n.a."))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Market capitalisation / free cash flow</x:v>
      </x:c>
      <x:c r="D23" s="41" t="str">
        <x:f>IF(COUNT('Share Valuation'!D12,'Capital Calculations'!D19)&lt;2,"n.a.",IF(('Capital Calculations'!D19)&gt;0,('Share Valuation'!D12)/('Capital Calculations'!D19),"n.a."))</x:f>
        <x:v>n.a.</x:v>
      </x:c>
      <x:c r="E23" s="41" t="str">
        <x:f>IF(COUNT('Share Valuation'!E12,'Capital Calculations'!E19)&lt;2,"n.a.",IF(('Capital Calculations'!E19)&gt;0,('Share Valuation'!E12)/('Capital Calculations'!E19),"n.a."))</x:f>
        <x:v>n.a.</x:v>
      </x:c>
      <x:c r="F23" s="41" t="str">
        <x:f>IF(COUNT('Share Valuation'!F12,'Capital Calculations'!F19)&lt;2,"n.a.",IF(('Capital Calculations'!F19)&gt;0,('Share Valuation'!F12)/('Capital Calculations'!F19),"n.a."))</x:f>
        <x:v>n.a.</x:v>
      </x:c>
      <x:c r="G23" s="41" t="str">
        <x:f>IF(COUNT('Share Valuation'!G12,'Capital Calculations'!G19)&lt;2,"n.a.",IF(('Capital Calculations'!G19)&gt;0,('Share Valuation'!G12)/('Capital Calculations'!G19),"n.a."))</x:f>
        <x:v>n.a.</x:v>
      </x:c>
      <x:c r="H23" s="41" t="str">
        <x:f>IF(COUNT('Share Valuation'!H12,'Capital Calculations'!H19)&lt;2,"n.a.",IF(('Capital Calculations'!H19)&gt;0,('Share Valuation'!H12)/('Capital Calculations'!H19),"n.a."))</x:f>
        <x:v>n.a.</x:v>
      </x:c>
      <x:c r="I23" s="41" t="str">
        <x:f>IF(COUNT('Share Valuation'!I12,'Capital Calculations'!I19)&lt;2,"n.a.",IF(('Capital Calculations'!I19)&gt;0,('Share Valuation'!I12)/('Capital Calculations'!I19),"n.a."))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0" t="str">
        <x:v>Earnings yield</x:v>
      </x:c>
      <x:c r="D24" s="36" t="str">
        <x:f>IF(COUNT('Share Valuation'!D8,'Market Inputs'!D7)&lt;2,"n.a.",IF(('Market Inputs'!D7)&gt;0,('Share Valuation'!D8)/('Market Inputs'!D7),"n.a."))</x:f>
        <x:v>n.a.</x:v>
      </x:c>
      <x:c r="E24" s="36" t="str">
        <x:f>IF(COUNT('Share Valuation'!E8,'Market Inputs'!E7)&lt;2,"n.a.",IF(('Market Inputs'!E7)&gt;0,('Share Valuation'!E8)/('Market Inputs'!E7),"n.a."))</x:f>
        <x:v>n.a.</x:v>
      </x:c>
      <x:c r="F24" s="36" t="str">
        <x:f>IF(COUNT('Share Valuation'!F8,'Market Inputs'!F7)&lt;2,"n.a.",IF(('Market Inputs'!F7)&gt;0,('Share Valuation'!F8)/('Market Inputs'!F7),"n.a."))</x:f>
        <x:v>n.a.</x:v>
      </x:c>
      <x:c r="G24" s="36" t="str">
        <x:f>IF(COUNT('Share Valuation'!G8,'Market Inputs'!G7)&lt;2,"n.a.",IF(('Market Inputs'!G7)&gt;0,('Share Valuation'!G8)/('Market Inputs'!G7),"n.a."))</x:f>
        <x:v>n.a.</x:v>
      </x:c>
      <x:c r="H24" s="36" t="str">
        <x:f>IF(COUNT('Share Valuation'!H8,'Market Inputs'!H7)&lt;2,"n.a.",IF(('Market Inputs'!H7)&gt;0,('Share Valuation'!H8)/('Market Inputs'!H7),"n.a."))</x:f>
        <x:v>n.a.</x:v>
      </x:c>
      <x:c r="I24" s="36" t="str">
        <x:f>IF(COUNT('Share Valuation'!I8,'Market Inputs'!I7)&lt;2,"n.a.",IF(('Market Inputs'!I7)&gt;0,('Share Valuation'!I8)/('Market Inputs'!I7),"n.a."))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20" t="str">
        <x:v>Dividend yield</x:v>
      </x:c>
      <x:c r="D25" s="37" t="str">
        <x:f>IF(COUNT('Market Inputs'!D12,'Market Inputs'!D7)&lt;2,"n.a.",IF(('Market Inputs'!D7)&gt;0,('Market Inputs'!D12)/('Market Inputs'!D7),"n.a."))</x:f>
        <x:v>n.a.</x:v>
      </x:c>
      <x:c r="E25" s="37" t="str">
        <x:f>IF(COUNT('Market Inputs'!E12,'Market Inputs'!E7)&lt;2,"n.a.",IF(('Market Inputs'!E7)&gt;0,('Market Inputs'!E12)/('Market Inputs'!E7),"n.a."))</x:f>
        <x:v>n.a.</x:v>
      </x:c>
      <x:c r="F25" s="37" t="str">
        <x:f>IF(COUNT('Market Inputs'!F12,'Market Inputs'!F7)&lt;2,"n.a.",IF(('Market Inputs'!F7)&gt;0,('Market Inputs'!F12)/('Market Inputs'!F7),"n.a."))</x:f>
        <x:v>n.a.</x:v>
      </x:c>
      <x:c r="G25" s="37" t="str">
        <x:f>IF(COUNT('Market Inputs'!G12,'Market Inputs'!G7)&lt;2,"n.a.",IF(('Market Inputs'!G7)&gt;0,('Market Inputs'!G12)/('Market Inputs'!G7),"n.a."))</x:f>
        <x:v>n.a.</x:v>
      </x:c>
      <x:c r="H25" s="37" t="str">
        <x:f>IF(COUNT('Market Inputs'!H12,'Market Inputs'!H7)&lt;2,"n.a.",IF(('Market Inputs'!H7)&gt;0,('Market Inputs'!H12)/('Market Inputs'!H7),"n.a."))</x:f>
        <x:v>n.a.</x:v>
      </x:c>
      <x:c r="I25" s="37" t="str">
        <x:f>IF(COUNT('Market Inputs'!I12,'Market Inputs'!I7)&lt;2,"n.a.",IF(('Market Inputs'!I7)&gt;0,('Market Inputs'!I12)/('Market Inputs'!I7),"n.a."))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20" t="str">
        <x:v>Free cash flow yield</x:v>
      </x:c>
      <x:c r="D26" s="36" t="str">
        <x:f>IF(COUNT('Capital Calculations'!D19,'Share Valuation'!D12)&lt;2,"n.a.",IF(('Share Valuation'!D12)&gt;0,('Capital Calculations'!D19)/('Share Valuation'!D12),"n.a."))</x:f>
        <x:v>n.a.</x:v>
      </x:c>
      <x:c r="E26" s="36" t="str">
        <x:f>IF(COUNT('Capital Calculations'!E19,'Share Valuation'!E12)&lt;2,"n.a.",IF(('Share Valuation'!E12)&gt;0,('Capital Calculations'!E19)/('Share Valuation'!E12),"n.a."))</x:f>
        <x:v>n.a.</x:v>
      </x:c>
      <x:c r="F26" s="36" t="str">
        <x:f>IF(COUNT('Capital Calculations'!F19,'Share Valuation'!F12)&lt;2,"n.a.",IF(('Share Valuation'!F12)&gt;0,('Capital Calculations'!F19)/('Share Valuation'!F12),"n.a."))</x:f>
        <x:v>n.a.</x:v>
      </x:c>
      <x:c r="G26" s="36" t="str">
        <x:f>IF(COUNT('Capital Calculations'!G19,'Share Valuation'!G12)&lt;2,"n.a.",IF(('Share Valuation'!G12)&gt;0,('Capital Calculations'!G19)/('Share Valuation'!G12),"n.a."))</x:f>
        <x:v>n.a.</x:v>
      </x:c>
      <x:c r="H26" s="36" t="str">
        <x:f>IF(COUNT('Capital Calculations'!H19,'Share Valuation'!H12)&lt;2,"n.a.",IF(('Share Valuation'!H12)&gt;0,('Capital Calculations'!H19)/('Share Valuation'!H12),"n.a."))</x:f>
        <x:v>n.a.</x:v>
      </x:c>
      <x:c r="I26" s="36" t="str">
        <x:f>IF(COUNT('Capital Calculations'!I19,'Share Valuation'!I12)&lt;2,"n.a.",IF(('Share Valuation'!I12)&gt;0,('Capital Calculations'!I19)/('Share Valuation'!I12),"n.a."))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20" t="str">
        <x:v>Common dividend payout ratio</x:v>
      </x:c>
      <x:c r="D27" s="37" t="str">
        <x:f>IF(COUNT('Market Inputs'!D14,'Capital Calculations'!D15)&lt;2,"n.a.",IF(('Capital Calculations'!D15)&gt;0,('Market Inputs'!D14)/('Capital Calculations'!D15),"n.a."))</x:f>
        <x:v>n.a.</x:v>
      </x:c>
      <x:c r="E27" s="37" t="str">
        <x:f>IF(COUNT('Market Inputs'!E14,'Capital Calculations'!E15)&lt;2,"n.a.",IF(('Capital Calculations'!E15)&gt;0,('Market Inputs'!E14)/('Capital Calculations'!E15),"n.a."))</x:f>
        <x:v>n.a.</x:v>
      </x:c>
      <x:c r="F27" s="37" t="str">
        <x:f>IF(COUNT('Market Inputs'!F14,'Capital Calculations'!F15)&lt;2,"n.a.",IF(('Capital Calculations'!F15)&gt;0,('Market Inputs'!F14)/('Capital Calculations'!F15),"n.a."))</x:f>
        <x:v>n.a.</x:v>
      </x:c>
      <x:c r="G27" s="37" t="str">
        <x:f>IF(COUNT('Market Inputs'!G14,'Capital Calculations'!G15)&lt;2,"n.a.",IF(('Capital Calculations'!G15)&gt;0,('Market Inputs'!G14)/('Capital Calculations'!G15),"n.a."))</x:f>
        <x:v>n.a.</x:v>
      </x:c>
      <x:c r="H27" s="37" t="str">
        <x:f>IF(COUNT('Market Inputs'!H14,'Capital Calculations'!H15)&lt;2,"n.a.",IF(('Capital Calculations'!H15)&gt;0,('Market Inputs'!H14)/('Capital Calculations'!H15),"n.a."))</x:f>
        <x:v>n.a.</x:v>
      </x:c>
      <x:c r="I27" s="37" t="str">
        <x:f>IF(COUNT('Market Inputs'!I14,'Capital Calculations'!I15)&lt;2,"n.a.",IF(('Capital Calculations'!I15)&gt;0,('Market Inputs'!I14)/('Capital Calculations'!I15),"n.a."))</x:f>
        <x:v>n.a.</x:v>
      </x:c>
      <x:c r="J27" s="2"/>
      <x:c r="K27" s="2"/>
      <x:c r="L27" s="2"/>
      <x:c r="M27" s="2"/>
    </x:row>
    <x:row r="28" ht="23" customHeight="1">
      <x:c r="A28" s="1"/>
      <x:c r="B28" s="1"/>
      <x:c r="C28" s="20" t="str">
        <x:v>Earnings yield / bond yield</x:v>
      </x:c>
      <x:c r="D28" s="42" t="str">
        <x:f>IF(COUNT('Share Valuation'!D24,'Market Inputs'!D19)&lt;2,"n.a.",IF(('Market Inputs'!D19)&gt;0,('Share Valuation'!D24)/('Market Inputs'!D19),"n.a."))</x:f>
        <x:v>n.a.</x:v>
      </x:c>
      <x:c r="E28" s="42" t="str">
        <x:f>IF(COUNT('Share Valuation'!E24,'Market Inputs'!E19)&lt;2,"n.a.",IF(('Market Inputs'!E19)&gt;0,('Share Valuation'!E24)/('Market Inputs'!E19),"n.a."))</x:f>
        <x:v>n.a.</x:v>
      </x:c>
      <x:c r="F28" s="42" t="str">
        <x:f>IF(COUNT('Share Valuation'!F24,'Market Inputs'!F19)&lt;2,"n.a.",IF(('Market Inputs'!F19)&gt;0,('Share Valuation'!F24)/('Market Inputs'!F19),"n.a."))</x:f>
        <x:v>n.a.</x:v>
      </x:c>
      <x:c r="G28" s="42" t="str">
        <x:f>IF(COUNT('Share Valuation'!G24,'Market Inputs'!G19)&lt;2,"n.a.",IF(('Market Inputs'!G19)&gt;0,('Share Valuation'!G24)/('Market Inputs'!G19),"n.a."))</x:f>
        <x:v>n.a.</x:v>
      </x:c>
      <x:c r="H28" s="42" t="str">
        <x:f>IF(COUNT('Share Valuation'!H24,'Market Inputs'!H19)&lt;2,"n.a.",IF(('Market Inputs'!H19)&gt;0,('Share Valuation'!H24)/('Market Inputs'!H19),"n.a."))</x:f>
        <x:v>n.a.</x:v>
      </x:c>
      <x:c r="I28" s="42" t="str">
        <x:f>IF(COUNT('Share Valuation'!I24,'Market Inputs'!I19)&lt;2,"n.a.",IF(('Market Inputs'!I19)&gt;0,('Share Valuation'!I24)/('Market Inputs'!I19),"n.a."))</x:f>
        <x:v>n.a.</x:v>
      </x:c>
      <x:c r="J28" s="2"/>
      <x:c r="K28" s="2"/>
      <x:c r="L28" s="2"/>
      <x:c r="M28" s="2"/>
    </x:row>
    <x:row r="29" ht="23" customHeight="1">
      <x:c r="A29" s="1"/>
      <x:c r="B29" s="1"/>
      <x:c r="C29" s="20" t="str">
        <x:v>Dividend yield / bond yield</x:v>
      </x:c>
      <x:c r="D29" s="41" t="str">
        <x:f>IF(COUNT('Share Valuation'!D25,'Market Inputs'!D19)&lt;2,"n.a.",IF(('Market Inputs'!D19)&gt;0,('Share Valuation'!D25)/('Market Inputs'!D19),"n.a."))</x:f>
        <x:v>n.a.</x:v>
      </x:c>
      <x:c r="E29" s="41" t="str">
        <x:f>IF(COUNT('Share Valuation'!E25,'Market Inputs'!E19)&lt;2,"n.a.",IF(('Market Inputs'!E19)&gt;0,('Share Valuation'!E25)/('Market Inputs'!E19),"n.a."))</x:f>
        <x:v>n.a.</x:v>
      </x:c>
      <x:c r="F29" s="41" t="str">
        <x:f>IF(COUNT('Share Valuation'!F25,'Market Inputs'!F19)&lt;2,"n.a.",IF(('Market Inputs'!F19)&gt;0,('Share Valuation'!F25)/('Market Inputs'!F19),"n.a."))</x:f>
        <x:v>n.a.</x:v>
      </x:c>
      <x:c r="G29" s="41" t="str">
        <x:f>IF(COUNT('Share Valuation'!G25,'Market Inputs'!G19)&lt;2,"n.a.",IF(('Market Inputs'!G19)&gt;0,('Share Valuation'!G25)/('Market Inputs'!G19),"n.a."))</x:f>
        <x:v>n.a.</x:v>
      </x:c>
      <x:c r="H29" s="41" t="str">
        <x:f>IF(COUNT('Share Valuation'!H25,'Market Inputs'!H19)&lt;2,"n.a.",IF(('Market Inputs'!H19)&gt;0,('Share Valuation'!H25)/('Market Inputs'!H19),"n.a."))</x:f>
        <x:v>n.a.</x:v>
      </x:c>
      <x:c r="I29" s="41" t="str">
        <x:f>IF(COUNT('Share Valuation'!I25,'Market Inputs'!I19)&lt;2,"n.a.",IF(('Market Inputs'!I19)&gt;0,('Share Valuation'!I25)/('Market Inputs'!I19),"n.a."))</x:f>
        <x:v>n.a.</x:v>
      </x:c>
      <x:c r="J29" s="2"/>
      <x:c r="K29" s="2"/>
      <x:c r="L29" s="2"/>
      <x:c r="M29" s="2"/>
    </x:row>
    <x:row r="30" ht="23" customHeight="1">
      <x:c r="A30" s="1"/>
      <x:c r="B30" s="1"/>
      <x:c r="C30" s="20" t="str">
        <x:v>Earnings retention ratio</x:v>
      </x:c>
      <x:c r="D30" s="36" t="str">
        <x:f>IF(COUNT('Share Valuation'!D27)&lt;1,"n.a.",IF(TRUE,1-'Share Valuation'!D27,"n.a."))</x:f>
        <x:v>n.a.</x:v>
      </x:c>
      <x:c r="E30" s="36" t="str">
        <x:f>IF(COUNT('Share Valuation'!E27)&lt;1,"n.a.",IF(TRUE,1-'Share Valuation'!E27,"n.a."))</x:f>
        <x:v>n.a.</x:v>
      </x:c>
      <x:c r="F30" s="36" t="str">
        <x:f>IF(COUNT('Share Valuation'!F27)&lt;1,"n.a.",IF(TRUE,1-'Share Valuation'!F27,"n.a."))</x:f>
        <x:v>n.a.</x:v>
      </x:c>
      <x:c r="G30" s="36" t="str">
        <x:f>IF(COUNT('Share Valuation'!G27)&lt;1,"n.a.",IF(TRUE,1-'Share Valuation'!G27,"n.a."))</x:f>
        <x:v>n.a.</x:v>
      </x:c>
      <x:c r="H30" s="36" t="str">
        <x:f>IF(COUNT('Share Valuation'!H27)&lt;1,"n.a.",IF(TRUE,1-'Share Valuation'!H27,"n.a."))</x:f>
        <x:v>n.a.</x:v>
      </x:c>
      <x:c r="I30" s="36" t="str">
        <x:f>IF(COUNT('Share Valuation'!I27)&lt;1,"n.a.",IF(TRUE,1-'Share Valuation'!I27,"n.a."))</x:f>
        <x:v>n.a.</x:v>
      </x:c>
      <x:c r="J30" s="2"/>
      <x:c r="K30" s="2"/>
      <x:c r="L30" s="2"/>
      <x:c r="M30" s="2"/>
    </x:row>
    <x:row r="31" ht="23" customHeight="1">
      <x:c r="A31" s="1"/>
      <x:c r="B31" s="1"/>
      <x:c r="C31" s="20" t="str">
        <x:v>Sustainable growth approximation</x:v>
      </x:c>
      <x:c r="D31" s="37" t="str">
        <x:f>IF(COUNT('Share Valuation'!D30,'Profitability'!D16)&lt;2,"n.a.",IF(TRUE,'Share Valuation'!D30*'Profitability'!D16,"n.a."))</x:f>
        <x:v>n.a.</x:v>
      </x:c>
      <x:c r="E31" s="37" t="str">
        <x:f>IF(COUNT('Share Valuation'!E30,'Profitability'!E16)&lt;2,"n.a.",IF(TRUE,'Share Valuation'!E30*'Profitability'!E16,"n.a."))</x:f>
        <x:v>n.a.</x:v>
      </x:c>
      <x:c r="F31" s="37" t="str">
        <x:f>IF(COUNT('Share Valuation'!F30,'Profitability'!F16)&lt;2,"n.a.",IF(TRUE,'Share Valuation'!F30*'Profitability'!F16,"n.a."))</x:f>
        <x:v>n.a.</x:v>
      </x:c>
      <x:c r="G31" s="37" t="str">
        <x:f>IF(COUNT('Share Valuation'!G30,'Profitability'!G16)&lt;2,"n.a.",IF(TRUE,'Share Valuation'!G30*'Profitability'!G16,"n.a."))</x:f>
        <x:v>n.a.</x:v>
      </x:c>
      <x:c r="H31" s="37" t="str">
        <x:f>IF(COUNT('Share Valuation'!H30,'Profitability'!H16)&lt;2,"n.a.",IF(TRUE,'Share Valuation'!H30*'Profitability'!H16,"n.a."))</x:f>
        <x:v>n.a.</x:v>
      </x:c>
      <x:c r="I31" s="37" t="str">
        <x:f>IF(COUNT('Share Valuation'!I30,'Profitability'!I16)&lt;2,"n.a.",IF(TRUE,'Share Valuation'!I30*'Profitability'!I16,"n.a."))</x:f>
        <x:v>n.a.</x:v>
      </x:c>
      <x:c r="J31" s="2"/>
      <x:c r="K31" s="2" t="str">
        <x:v>Common ROE × retention. Assumes stable financing and profitability.</x:v>
      </x:c>
      <x:c r="L31" s="2"/>
      <x:c r="M31" s="2"/>
    </x:row>
    <x:row r="32" ht="23" customHeight="1">
      <x:c r="A32" s="1"/>
      <x:c r="B32" s="1"/>
      <x:c r="C32" s="2" t="str">
        <x:v>Average basic EPS, latest 3 years</x:v>
      </x:c>
      <x:c r="D32" s="45" t="str">
        <x:f>"n.a."</x:f>
        <x:v>n.a.</x:v>
      </x:c>
      <x:c r="E32" s="45" t="str">
        <x:f>"n.a."</x:f>
        <x:v>n.a.</x:v>
      </x:c>
      <x:c r="F32" s="45" t="str">
        <x:f>IF(COUNT('Share Valuation'!F8,'Share Valuation'!E8,'Share Valuation'!D8)&lt;3,"n.a.",IF(TRUE,('Share Valuation'!F8+'Share Valuation'!E8+'Share Valuation'!D8)/3,"n.a."))</x:f>
        <x:v>n.a.</x:v>
      </x:c>
      <x:c r="G32" s="45" t="str">
        <x:f>IF(COUNT('Share Valuation'!G8,'Share Valuation'!F8,'Share Valuation'!E8)&lt;3,"n.a.",IF(TRUE,('Share Valuation'!G8+'Share Valuation'!F8+'Share Valuation'!E8)/3,"n.a."))</x:f>
        <x:v>n.a.</x:v>
      </x:c>
      <x:c r="H32" s="45" t="str">
        <x:f>IF(COUNT('Share Valuation'!H8,'Share Valuation'!G8,'Share Valuation'!F8)&lt;3,"n.a.",IF(TRUE,('Share Valuation'!H8+'Share Valuation'!G8+'Share Valuation'!F8)/3,"n.a."))</x:f>
        <x:v>n.a.</x:v>
      </x:c>
      <x:c r="I32" s="45" t="str">
        <x:f>IF(COUNT('Share Valuation'!I8,'Share Valuation'!H8,'Share Valuation'!G8)&lt;3,"n.a.",IF(TRUE,('Share Valuation'!I8+'Share Valuation'!H8+'Share Valuation'!G8)/3,"n.a."))</x:f>
        <x:v>n.a.</x:v>
      </x:c>
      <x:c r="J32" s="2"/>
      <x:c r="K32" s="2" t="str">
        <x:v>Requires three observed years and consistent share adjustments.</x:v>
      </x:c>
      <x:c r="L32" s="2"/>
      <x:c r="M32" s="2"/>
    </x:row>
    <x:row r="33" ht="23" customHeight="1">
      <x:c r="A33" s="1"/>
      <x:c r="B33" s="1"/>
      <x:c r="C33" s="20" t="str">
        <x:v>Price / three-year average EPS</x:v>
      </x:c>
      <x:c r="D33" s="41" t="str">
        <x:f>IF(COUNT('Market Inputs'!D7,'Share Valuation'!D32)&lt;2,"n.a.",IF(('Share Valuation'!D32)&gt;0,('Market Inputs'!D7)/('Share Valuation'!D32),"n.a."))</x:f>
        <x:v>n.a.</x:v>
      </x:c>
      <x:c r="E33" s="41" t="str">
        <x:f>IF(COUNT('Market Inputs'!E7,'Share Valuation'!E32)&lt;2,"n.a.",IF(('Share Valuation'!E32)&gt;0,('Market Inputs'!E7)/('Share Valuation'!E32),"n.a."))</x:f>
        <x:v>n.a.</x:v>
      </x:c>
      <x:c r="F33" s="41" t="str">
        <x:f>IF(COUNT('Market Inputs'!F7,'Share Valuation'!F32)&lt;2,"n.a.",IF(('Share Valuation'!F32)&gt;0,('Market Inputs'!F7)/('Share Valuation'!F32),"n.a."))</x:f>
        <x:v>n.a.</x:v>
      </x:c>
      <x:c r="G33" s="41" t="str">
        <x:f>IF(COUNT('Market Inputs'!G7,'Share Valuation'!G32)&lt;2,"n.a.",IF(('Share Valuation'!G32)&gt;0,('Market Inputs'!G7)/('Share Valuation'!G32),"n.a."))</x:f>
        <x:v>n.a.</x:v>
      </x:c>
      <x:c r="H33" s="41" t="str">
        <x:f>IF(COUNT('Market Inputs'!H7,'Share Valuation'!H32)&lt;2,"n.a.",IF(('Share Valuation'!H32)&gt;0,('Market Inputs'!H7)/('Share Valuation'!H32),"n.a."))</x:f>
        <x:v>n.a.</x:v>
      </x:c>
      <x:c r="I33" s="41" t="str">
        <x:f>IF(COUNT('Market Inputs'!I7,'Share Valuation'!I32)&lt;2,"n.a.",IF(('Share Valuation'!I32)&gt;0,('Market Inputs'!I7)/('Share Valuation'!I32),"n.a."))</x:f>
        <x:v>n.a.</x:v>
      </x:c>
      <x:c r="J33" s="2"/>
      <x:c r="K33" s="2"/>
      <x:c r="L33" s="2"/>
      <x:c r="M33" s="2"/>
    </x:row>
    <x:row r="34" ht="23" customHeight="1">
      <x:c r="A34" s="1"/>
      <x:c r="B34" s="1"/>
      <x:c r="C34" s="20" t="str">
        <x:v>Three-year average earnings yield</x:v>
      </x:c>
      <x:c r="D34" s="36" t="str">
        <x:f>IF(COUNT('Share Valuation'!D32,'Market Inputs'!D7)&lt;2,"n.a.",IF(('Market Inputs'!D7)&gt;0,('Share Valuation'!D32)/('Market Inputs'!D7),"n.a."))</x:f>
        <x:v>n.a.</x:v>
      </x:c>
      <x:c r="E34" s="36" t="str">
        <x:f>IF(COUNT('Share Valuation'!E32,'Market Inputs'!E7)&lt;2,"n.a.",IF(('Market Inputs'!E7)&gt;0,('Share Valuation'!E32)/('Market Inputs'!E7),"n.a."))</x:f>
        <x:v>n.a.</x:v>
      </x:c>
      <x:c r="F34" s="36" t="str">
        <x:f>IF(COUNT('Share Valuation'!F32,'Market Inputs'!F7)&lt;2,"n.a.",IF(('Market Inputs'!F7)&gt;0,('Share Valuation'!F32)/('Market Inputs'!F7),"n.a."))</x:f>
        <x:v>n.a.</x:v>
      </x:c>
      <x:c r="G34" s="36" t="str">
        <x:f>IF(COUNT('Share Valuation'!G32,'Market Inputs'!G7)&lt;2,"n.a.",IF(('Market Inputs'!G7)&gt;0,('Share Valuation'!G32)/('Market Inputs'!G7),"n.a."))</x:f>
        <x:v>n.a.</x:v>
      </x:c>
      <x:c r="H34" s="36" t="str">
        <x:f>IF(COUNT('Share Valuation'!H32,'Market Inputs'!H7)&lt;2,"n.a.",IF(('Market Inputs'!H7)&gt;0,('Share Valuation'!H32)/('Market Inputs'!H7),"n.a."))</x:f>
        <x:v>n.a.</x:v>
      </x:c>
      <x:c r="I34" s="36" t="str">
        <x:f>IF(COUNT('Share Valuation'!I32,'Market Inputs'!I7)&lt;2,"n.a.",IF(('Market Inputs'!I7)&gt;0,('Share Valuation'!I32)/('Market Inputs'!I7),"n.a."))</x:f>
        <x:v>n.a.</x:v>
      </x:c>
      <x:c r="J34" s="2"/>
      <x:c r="K34" s="2"/>
      <x:c r="L34" s="2"/>
      <x:c r="M34" s="2"/>
    </x:row>
    <x:row r="35" ht="25" customHeight="1">
      <x:c r="A35" s="1"/>
      <x:c r="B35" s="1"/>
      <x:c r="C35" s="34" t="str">
        <x:v>Price estimates from selected multiples</x:v>
      </x:c>
      <x:c r="D35" s="34"/>
      <x:c r="E35" s="34"/>
      <x:c r="F35" s="34"/>
      <x:c r="G35" s="34"/>
      <x:c r="H35" s="34"/>
      <x:c r="I35" s="34"/>
      <x:c r="J35" s="2"/>
      <x:c r="K35" s="2"/>
      <x:c r="L35" s="2"/>
      <x:c r="M35" s="2"/>
    </x:row>
    <x:row r="36" ht="23" customHeight="1">
      <x:c r="A36" s="1"/>
      <x:c r="B36" s="1"/>
      <x:c r="C36" s="2" t="str">
        <x:v>Price estimate using selected P/E</x:v>
      </x:c>
      <x:c r="D36" s="45" t="str">
        <x:f>IF(COUNT('Share Valuation'!D8,'Market Inputs'!D24)&lt;2,"n.a.",IF(AND('Share Valuation'!D8&gt;0,'Market Inputs'!D24&gt;0),'Share Valuation'!D8*'Market Inputs'!D24,"n.a."))</x:f>
        <x:v>n.a.</x:v>
      </x:c>
      <x:c r="E36" s="45" t="str">
        <x:f>IF(COUNT('Share Valuation'!E8,'Market Inputs'!E24)&lt;2,"n.a.",IF(AND('Share Valuation'!E8&gt;0,'Market Inputs'!E24&gt;0),'Share Valuation'!E8*'Market Inputs'!E24,"n.a."))</x:f>
        <x:v>n.a.</x:v>
      </x:c>
      <x:c r="F36" s="45" t="str">
        <x:f>IF(COUNT('Share Valuation'!F8,'Market Inputs'!F24)&lt;2,"n.a.",IF(AND('Share Valuation'!F8&gt;0,'Market Inputs'!F24&gt;0),'Share Valuation'!F8*'Market Inputs'!F24,"n.a."))</x:f>
        <x:v>n.a.</x:v>
      </x:c>
      <x:c r="G36" s="45" t="str">
        <x:f>IF(COUNT('Share Valuation'!G8,'Market Inputs'!G24)&lt;2,"n.a.",IF(AND('Share Valuation'!G8&gt;0,'Market Inputs'!G24&gt;0),'Share Valuation'!G8*'Market Inputs'!G24,"n.a."))</x:f>
        <x:v>n.a.</x:v>
      </x:c>
      <x:c r="H36" s="45" t="str">
        <x:f>IF(COUNT('Share Valuation'!H8,'Market Inputs'!H24)&lt;2,"n.a.",IF(AND('Share Valuation'!H8&gt;0,'Market Inputs'!H24&gt;0),'Share Valuation'!H8*'Market Inputs'!H24,"n.a."))</x:f>
        <x:v>n.a.</x:v>
      </x:c>
      <x:c r="I36" s="45" t="str">
        <x:f>IF(COUNT('Share Valuation'!I8,'Market Inputs'!I24)&lt;2,"n.a.",IF(AND('Share Valuation'!I8&gt;0,'Market Inputs'!I24&gt;0),'Share Valuation'!I8*'Market Inputs'!I24,"n.a."))</x:f>
        <x:v>n.a.</x:v>
      </x:c>
      <x:c r="J36" s="2"/>
      <x:c r="K36" s="2" t="str">
        <x:v>Analyst-selected multiple, not an intrinsic-value guarantee.</x:v>
      </x:c>
      <x:c r="L36" s="2"/>
      <x:c r="M36" s="2"/>
    </x:row>
    <x:row r="37" ht="23" customHeight="1">
      <x:c r="A37" s="1"/>
      <x:c r="B37" s="1"/>
      <x:c r="C37" s="2" t="str">
        <x:v>Price estimate using selected P/B</x:v>
      </x:c>
      <x:c r="D37" s="46" t="str">
        <x:f>IF(COUNT('Share Valuation'!D10,'Market Inputs'!D25)&lt;2,"n.a.",IF(AND('Share Valuation'!D10&gt;0,'Market Inputs'!D25&gt;0),'Share Valuation'!D10*'Market Inputs'!D25,"n.a."))</x:f>
        <x:v>n.a.</x:v>
      </x:c>
      <x:c r="E37" s="46" t="str">
        <x:f>IF(COUNT('Share Valuation'!E10,'Market Inputs'!E25)&lt;2,"n.a.",IF(AND('Share Valuation'!E10&gt;0,'Market Inputs'!E25&gt;0),'Share Valuation'!E10*'Market Inputs'!E25,"n.a."))</x:f>
        <x:v>n.a.</x:v>
      </x:c>
      <x:c r="F37" s="46" t="str">
        <x:f>IF(COUNT('Share Valuation'!F10,'Market Inputs'!F25)&lt;2,"n.a.",IF(AND('Share Valuation'!F10&gt;0,'Market Inputs'!F25&gt;0),'Share Valuation'!F10*'Market Inputs'!F25,"n.a."))</x:f>
        <x:v>n.a.</x:v>
      </x:c>
      <x:c r="G37" s="46" t="str">
        <x:f>IF(COUNT('Share Valuation'!G10,'Market Inputs'!G25)&lt;2,"n.a.",IF(AND('Share Valuation'!G10&gt;0,'Market Inputs'!G25&gt;0),'Share Valuation'!G10*'Market Inputs'!G25,"n.a."))</x:f>
        <x:v>n.a.</x:v>
      </x:c>
      <x:c r="H37" s="46" t="str">
        <x:f>IF(COUNT('Share Valuation'!H10,'Market Inputs'!H25)&lt;2,"n.a.",IF(AND('Share Valuation'!H10&gt;0,'Market Inputs'!H25&gt;0),'Share Valuation'!H10*'Market Inputs'!H25,"n.a."))</x:f>
        <x:v>n.a.</x:v>
      </x:c>
      <x:c r="I37" s="46" t="str">
        <x:f>IF(COUNT('Share Valuation'!I10,'Market Inputs'!I25)&lt;2,"n.a.",IF(AND('Share Valuation'!I10&gt;0,'Market Inputs'!I25&gt;0),'Share Valuation'!I10*'Market Inputs'!I25,"n.a."))</x:f>
        <x:v>n.a.</x:v>
      </x:c>
      <x:c r="J37" s="2"/>
      <x:c r="K37" s="2"/>
      <x:c r="L37" s="2"/>
      <x:c r="M37" s="2"/>
    </x:row>
    <x:row r="38" ht="23" customHeight="1">
      <x:c r="A38" s="1"/>
      <x:c r="B38" s="1"/>
      <x:c r="C38" s="2" t="str">
        <x:v>Price estimate using selected EV/EBITDA</x:v>
      </x:c>
      <x:c r="D38" s="45" t="str">
        <x:f>IF(COUNT('Capital Calculations'!D16,'Market Inputs'!D26,'Capital Calculations'!D9,'Market Inputs'!D15,'Market Inputs'!D16,'Setup'!$E$10,'Market Inputs'!D8,'Setup'!$E$11)&lt;8,"n.a.",IF(AND('Capital Calculations'!D16&gt;0,'Market Inputs'!D26&gt;0,'Market Inputs'!D8&gt;0,'Setup'!$E$11&gt;0),('Capital Calculations'!D16*'Market Inputs'!D26-'Capital Calculations'!D9-'Market Inputs'!D15-'Market Inputs'!D16)*'Setup'!$E$10/('Market Inputs'!D8*'Setup'!$E$11),"n.a."))</x:f>
        <x:v>n.a.</x:v>
      </x:c>
      <x:c r="E38" s="45" t="str">
        <x:f>IF(COUNT('Capital Calculations'!E16,'Market Inputs'!E26,'Capital Calculations'!E9,'Market Inputs'!E15,'Market Inputs'!E16,'Setup'!$E$10,'Market Inputs'!E8,'Setup'!$E$11)&lt;8,"n.a.",IF(AND('Capital Calculations'!E16&gt;0,'Market Inputs'!E26&gt;0,'Market Inputs'!E8&gt;0,'Setup'!$E$11&gt;0),('Capital Calculations'!E16*'Market Inputs'!E26-'Capital Calculations'!E9-'Market Inputs'!E15-'Market Inputs'!E16)*'Setup'!$E$10/('Market Inputs'!E8*'Setup'!$E$11),"n.a."))</x:f>
        <x:v>n.a.</x:v>
      </x:c>
      <x:c r="F38" s="45" t="str">
        <x:f>IF(COUNT('Capital Calculations'!F16,'Market Inputs'!F26,'Capital Calculations'!F9,'Market Inputs'!F15,'Market Inputs'!F16,'Setup'!$E$10,'Market Inputs'!F8,'Setup'!$E$11)&lt;8,"n.a.",IF(AND('Capital Calculations'!F16&gt;0,'Market Inputs'!F26&gt;0,'Market Inputs'!F8&gt;0,'Setup'!$E$11&gt;0),('Capital Calculations'!F16*'Market Inputs'!F26-'Capital Calculations'!F9-'Market Inputs'!F15-'Market Inputs'!F16)*'Setup'!$E$10/('Market Inputs'!F8*'Setup'!$E$11),"n.a."))</x:f>
        <x:v>n.a.</x:v>
      </x:c>
      <x:c r="G38" s="45" t="str">
        <x:f>IF(COUNT('Capital Calculations'!G16,'Market Inputs'!G26,'Capital Calculations'!G9,'Market Inputs'!G15,'Market Inputs'!G16,'Setup'!$E$10,'Market Inputs'!G8,'Setup'!$E$11)&lt;8,"n.a.",IF(AND('Capital Calculations'!G16&gt;0,'Market Inputs'!G26&gt;0,'Market Inputs'!G8&gt;0,'Setup'!$E$11&gt;0),('Capital Calculations'!G16*'Market Inputs'!G26-'Capital Calculations'!G9-'Market Inputs'!G15-'Market Inputs'!G16)*'Setup'!$E$10/('Market Inputs'!G8*'Setup'!$E$11),"n.a."))</x:f>
        <x:v>n.a.</x:v>
      </x:c>
      <x:c r="H38" s="45" t="str">
        <x:f>IF(COUNT('Capital Calculations'!H16,'Market Inputs'!H26,'Capital Calculations'!H9,'Market Inputs'!H15,'Market Inputs'!H16,'Setup'!$E$10,'Market Inputs'!H8,'Setup'!$E$11)&lt;8,"n.a.",IF(AND('Capital Calculations'!H16&gt;0,'Market Inputs'!H26&gt;0,'Market Inputs'!H8&gt;0,'Setup'!$E$11&gt;0),('Capital Calculations'!H16*'Market Inputs'!H26-'Capital Calculations'!H9-'Market Inputs'!H15-'Market Inputs'!H16)*'Setup'!$E$10/('Market Inputs'!H8*'Setup'!$E$11),"n.a."))</x:f>
        <x:v>n.a.</x:v>
      </x:c>
      <x:c r="I38" s="45" t="str">
        <x:f>IF(COUNT('Capital Calculations'!I16,'Market Inputs'!I26,'Capital Calculations'!I9,'Market Inputs'!I15,'Market Inputs'!I16,'Setup'!$E$10,'Market Inputs'!I8,'Setup'!$E$11)&lt;8,"n.a.",IF(AND('Capital Calculations'!I16&gt;0,'Market Inputs'!I26&gt;0,'Market Inputs'!I8&gt;0,'Setup'!$E$11&gt;0),('Capital Calculations'!I16*'Market Inputs'!I26-'Capital Calculations'!I9-'Market Inputs'!I15-'Market Inputs'!I16)*'Setup'!$E$10/('Market Inputs'!I8*'Setup'!$E$11),"n.a."))</x:f>
        <x:v>n.a.</x:v>
      </x:c>
      <x:c r="J38" s="2"/>
      <x:c r="K38" s="2" t="str">
        <x:v>Enterprise-to-common-equity bridge before dividing by shares.</x:v>
      </x:c>
      <x:c r="L38" s="2"/>
      <x:c r="M38" s="2"/>
    </x:row>
    <x:row r="39" ht="23" customHeight="1">
      <x:c r="A39" s="1"/>
      <x:c r="B39" s="1"/>
      <x:c r="C39" s="2" t="str">
        <x:v>P/E estimate after margin of safety</x:v>
      </x:c>
      <x:c r="D39" s="46" t="str">
        <x:f>IF(COUNT('Share Valuation'!D36,'Market Inputs'!D27)&lt;2,"n.a.",IF(AND('Market Inputs'!D27&gt;=0,'Market Inputs'!D27&lt;=1),'Share Valuation'!D36*(1-'Market Inputs'!D27),"n.a."))</x:f>
        <x:v>n.a.</x:v>
      </x:c>
      <x:c r="E39" s="46" t="str">
        <x:f>IF(COUNT('Share Valuation'!E36,'Market Inputs'!E27)&lt;2,"n.a.",IF(AND('Market Inputs'!E27&gt;=0,'Market Inputs'!E27&lt;=1),'Share Valuation'!E36*(1-'Market Inputs'!E27),"n.a."))</x:f>
        <x:v>n.a.</x:v>
      </x:c>
      <x:c r="F39" s="46" t="str">
        <x:f>IF(COUNT('Share Valuation'!F36,'Market Inputs'!F27)&lt;2,"n.a.",IF(AND('Market Inputs'!F27&gt;=0,'Market Inputs'!F27&lt;=1),'Share Valuation'!F36*(1-'Market Inputs'!F27),"n.a."))</x:f>
        <x:v>n.a.</x:v>
      </x:c>
      <x:c r="G39" s="46" t="str">
        <x:f>IF(COUNT('Share Valuation'!G36,'Market Inputs'!G27)&lt;2,"n.a.",IF(AND('Market Inputs'!G27&gt;=0,'Market Inputs'!G27&lt;=1),'Share Valuation'!G36*(1-'Market Inputs'!G27),"n.a."))</x:f>
        <x:v>n.a.</x:v>
      </x:c>
      <x:c r="H39" s="46" t="str">
        <x:f>IF(COUNT('Share Valuation'!H36,'Market Inputs'!H27)&lt;2,"n.a.",IF(AND('Market Inputs'!H27&gt;=0,'Market Inputs'!H27&lt;=1),'Share Valuation'!H36*(1-'Market Inputs'!H27),"n.a."))</x:f>
        <x:v>n.a.</x:v>
      </x:c>
      <x:c r="I39" s="46" t="str">
        <x:f>IF(COUNT('Share Valuation'!I36,'Market Inputs'!I27)&lt;2,"n.a.",IF(AND('Market Inputs'!I27&gt;=0,'Market Inputs'!I27&lt;=1),'Share Valuation'!I36*(1-'Market Inputs'!I27),"n.a."))</x:f>
        <x:v>n.a.</x:v>
      </x:c>
      <x:c r="J39" s="2"/>
      <x:c r="K39" s="2"/>
      <x:c r="L39" s="2"/>
      <x:c r="M39" s="2"/>
    </x:row>
    <x:row r="40" ht="23" customHeight="1">
      <x:c r="A40" s="1"/>
      <x:c r="B40" s="1"/>
      <x:c r="C40" s="20" t="str">
        <x:v>P/E estimate upside / downside</x:v>
      </x:c>
      <x:c r="D40" s="36" t="str">
        <x:f>IF(COUNT('Share Valuation'!D36,'Market Inputs'!D7)&lt;2,"n.a.",IF(('Market Inputs'!D7)&gt;0,('Share Valuation'!D36-'Market Inputs'!D7)/('Market Inputs'!D7),"n.a."))</x:f>
        <x:v>n.a.</x:v>
      </x:c>
      <x:c r="E40" s="36" t="str">
        <x:f>IF(COUNT('Share Valuation'!E36,'Market Inputs'!E7)&lt;2,"n.a.",IF(('Market Inputs'!E7)&gt;0,('Share Valuation'!E36-'Market Inputs'!E7)/('Market Inputs'!E7),"n.a."))</x:f>
        <x:v>n.a.</x:v>
      </x:c>
      <x:c r="F40" s="36" t="str">
        <x:f>IF(COUNT('Share Valuation'!F36,'Market Inputs'!F7)&lt;2,"n.a.",IF(('Market Inputs'!F7)&gt;0,('Share Valuation'!F36-'Market Inputs'!F7)/('Market Inputs'!F7),"n.a."))</x:f>
        <x:v>n.a.</x:v>
      </x:c>
      <x:c r="G40" s="36" t="str">
        <x:f>IF(COUNT('Share Valuation'!G36,'Market Inputs'!G7)&lt;2,"n.a.",IF(('Market Inputs'!G7)&gt;0,('Share Valuation'!G36-'Market Inputs'!G7)/('Market Inputs'!G7),"n.a."))</x:f>
        <x:v>n.a.</x:v>
      </x:c>
      <x:c r="H40" s="36" t="str">
        <x:f>IF(COUNT('Share Valuation'!H36,'Market Inputs'!H7)&lt;2,"n.a.",IF(('Market Inputs'!H7)&gt;0,('Share Valuation'!H36-'Market Inputs'!H7)/('Market Inputs'!H7),"n.a."))</x:f>
        <x:v>n.a.</x:v>
      </x:c>
      <x:c r="I40" s="36" t="str">
        <x:f>IF(COUNT('Share Valuation'!I36,'Market Inputs'!I7)&lt;2,"n.a.",IF(('Market Inputs'!I7)&gt;0,('Share Valuation'!I36-'Market Inputs'!I7)/('Market Inputs'!I7),"n.a."))</x:f>
        <x:v>n.a.</x:v>
      </x:c>
      <x:c r="J40" s="2"/>
      <x:c r="K40" s="2"/>
      <x:c r="L40" s="2"/>
      <x:c r="M40" s="2"/>
    </x:row>
    <x:row r="41" ht="23" customHeight="1">
      <x:c r="A41" s="1"/>
      <x:c r="B41" s="1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3" customHeight="1">
      <x:c r="A42" s="1"/>
      <x:c r="B42" s="1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3" customHeight="1">
      <x:c r="A43" s="1"/>
      <x:c r="B43" s="1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DuPont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Group returns using consistent profit and equity bases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Three-factor identity, after tax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0" t="str">
        <x:v>Net profit margin</x:v>
      </x:c>
      <x:c r="D8" s="21"/>
      <x:c r="E8" s="36" t="str">
        <x:f>IF(COUNT('Profitability'!E12)&lt;1,"n.a.",IF(TRUE,'Profitability'!E12,"n.a."))</x:f>
        <x:v>n.a.</x:v>
      </x:c>
      <x:c r="F8" s="36" t="str">
        <x:f>IF(COUNT('Profitability'!F12)&lt;1,"n.a.",IF(TRUE,'Profitability'!F12,"n.a."))</x:f>
        <x:v>n.a.</x:v>
      </x:c>
      <x:c r="G8" s="36" t="str">
        <x:f>IF(COUNT('Profitability'!G12)&lt;1,"n.a.",IF(TRUE,'Profitability'!G12,"n.a."))</x:f>
        <x:v>n.a.</x:v>
      </x:c>
      <x:c r="H8" s="36" t="str">
        <x:f>IF(COUNT('Profitability'!H12)&lt;1,"n.a.",IF(TRUE,'Profitability'!H12,"n.a."))</x:f>
        <x:v>n.a.</x:v>
      </x:c>
      <x:c r="I8" s="36" t="str">
        <x:f>IF(COUNT('Profitability'!I12)&lt;1,"n.a.",IF(TRUE,'Profitability'!I12,"n.a."))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Average asset turnover</x:v>
      </x:c>
      <x:c r="D9" s="26"/>
      <x:c r="E9" s="41" t="str">
        <x:f>IF(COUNT('Efficiency'!E20)&lt;1,"n.a.",IF(TRUE,'Efficiency'!E20,"n.a."))</x:f>
        <x:v>n.a.</x:v>
      </x:c>
      <x:c r="F9" s="41" t="str">
        <x:f>IF(COUNT('Efficiency'!F20)&lt;1,"n.a.",IF(TRUE,'Efficiency'!F20,"n.a."))</x:f>
        <x:v>n.a.</x:v>
      </x:c>
      <x:c r="G9" s="41" t="str">
        <x:f>IF(COUNT('Efficiency'!G20)&lt;1,"n.a.",IF(TRUE,'Efficiency'!G20,"n.a."))</x:f>
        <x:v>n.a.</x:v>
      </x:c>
      <x:c r="H9" s="41" t="str">
        <x:f>IF(COUNT('Efficiency'!H20)&lt;1,"n.a.",IF(TRUE,'Efficiency'!H20,"n.a."))</x:f>
        <x:v>n.a.</x:v>
      </x:c>
      <x:c r="I9" s="41" t="str">
        <x:f>IF(COUNT('Efficiency'!I20)&lt;1,"n.a.",IF(TRUE,'Efficiency'!I20,"n.a."))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0" t="str">
        <x:v>Average equity multiplier</x:v>
      </x:c>
      <x:c r="D10" s="26"/>
      <x:c r="E10" s="42" t="str">
        <x:f>IF(COUNT('Debt and Solvency'!E20)&lt;1,"n.a.",IF(TRUE,'Debt and Solvency'!E20,"n.a."))</x:f>
        <x:v>n.a.</x:v>
      </x:c>
      <x:c r="F10" s="42" t="str">
        <x:f>IF(COUNT('Debt and Solvency'!F20)&lt;1,"n.a.",IF(TRUE,'Debt and Solvency'!F20,"n.a."))</x:f>
        <x:v>n.a.</x:v>
      </x:c>
      <x:c r="G10" s="42" t="str">
        <x:f>IF(COUNT('Debt and Solvency'!G20)&lt;1,"n.a.",IF(TRUE,'Debt and Solvency'!G20,"n.a."))</x:f>
        <x:v>n.a.</x:v>
      </x:c>
      <x:c r="H10" s="42" t="str">
        <x:f>IF(COUNT('Debt and Solvency'!H20)&lt;1,"n.a.",IF(TRUE,'Debt and Solvency'!H20,"n.a."))</x:f>
        <x:v>n.a.</x:v>
      </x:c>
      <x:c r="I10" s="42" t="str">
        <x:f>IF(COUNT('Debt and Solvency'!I20)&lt;1,"n.a.",IF(TRUE,'Debt and Solvency'!I20,"n.a."))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ROE from three factors</x:v>
      </x:c>
      <x:c r="D11" s="21"/>
      <x:c r="E11" s="37" t="str">
        <x:f>IF(COUNT('DuPont'!E8,'DuPont'!E9,'DuPont'!E10)&lt;3,"n.a.",IF(TRUE,'DuPont'!E8*'DuPont'!E9*'DuPont'!E10,"n.a."))</x:f>
        <x:v>n.a.</x:v>
      </x:c>
      <x:c r="F11" s="37" t="str">
        <x:f>IF(COUNT('DuPont'!F8,'DuPont'!F9,'DuPont'!F10)&lt;3,"n.a.",IF(TRUE,'DuPont'!F8*'DuPont'!F9*'DuPont'!F10,"n.a."))</x:f>
        <x:v>n.a.</x:v>
      </x:c>
      <x:c r="G11" s="37" t="str">
        <x:f>IF(COUNT('DuPont'!G8,'DuPont'!G9,'DuPont'!G10)&lt;3,"n.a.",IF(TRUE,'DuPont'!G8*'DuPont'!G9*'DuPont'!G10,"n.a."))</x:f>
        <x:v>n.a.</x:v>
      </x:c>
      <x:c r="H11" s="37" t="str">
        <x:f>IF(COUNT('DuPont'!H8,'DuPont'!H9,'DuPont'!H10)&lt;3,"n.a.",IF(TRUE,'DuPont'!H8*'DuPont'!H9*'DuPont'!H10,"n.a."))</x:f>
        <x:v>n.a.</x:v>
      </x:c>
      <x:c r="I11" s="37" t="str">
        <x:f>IF(COUNT('DuPont'!I8,'DuPont'!I9,'DuPont'!I10)&lt;3,"n.a.",IF(TRUE,'DuPont'!I8*'DuPont'!I9*'DuPont'!I10,"n.a."))</x:f>
        <x:v>n.a.</x:v>
      </x:c>
      <x:c r="J11" s="2"/>
      <x:c r="K11" s="2" t="str">
        <x:v>Multiply the factors; do not add them.</x:v>
      </x:c>
      <x:c r="L11" s="2"/>
      <x:c r="M11" s="2"/>
    </x:row>
    <x:row r="12" ht="25" customHeight="1">
      <x:c r="A12" s="1"/>
      <x:c r="B12" s="1"/>
      <x:c r="C12" s="34" t="str">
        <x:v>Five-factor identity, after tax</x:v>
      </x:c>
      <x:c r="D12" s="34"/>
      <x:c r="E12" s="34"/>
      <x:c r="F12" s="34"/>
      <x:c r="G12" s="34"/>
      <x:c r="H12" s="34"/>
      <x:c r="I12" s="34"/>
      <x:c r="J12" s="2"/>
      <x:c r="K12" s="2"/>
      <x:c r="L12" s="2"/>
      <x:c r="M12" s="2"/>
    </x:row>
    <x:row r="13" ht="23" customHeight="1">
      <x:c r="A13" s="1"/>
      <x:c r="B13" s="1"/>
      <x:c r="C13" s="20" t="str">
        <x:v>Tax and other after-tax effects</x:v>
      </x:c>
      <x:c r="D13" s="26"/>
      <x:c r="E13" s="41" t="str">
        <x:f>IF(COUNT('Income Statement'!E28,'Income Statement'!E25)&lt;2,"n.a.",IF('Income Statement'!E25&lt;&gt;0,('Income Statement'!E28)/('Income Statement'!E25),"n.a."))</x:f>
        <x:v>n.a.</x:v>
      </x:c>
      <x:c r="F13" s="41" t="str">
        <x:f>IF(COUNT('Income Statement'!F28,'Income Statement'!F25)&lt;2,"n.a.",IF('Income Statement'!F25&lt;&gt;0,('Income Statement'!F28)/('Income Statement'!F25),"n.a."))</x:f>
        <x:v>n.a.</x:v>
      </x:c>
      <x:c r="G13" s="41" t="str">
        <x:f>IF(COUNT('Income Statement'!G28,'Income Statement'!G25)&lt;2,"n.a.",IF('Income Statement'!G25&lt;&gt;0,('Income Statement'!G28)/('Income Statement'!G25),"n.a."))</x:f>
        <x:v>n.a.</x:v>
      </x:c>
      <x:c r="H13" s="41" t="str">
        <x:f>IF(COUNT('Income Statement'!H28,'Income Statement'!H25)&lt;2,"n.a.",IF('Income Statement'!H25&lt;&gt;0,('Income Statement'!H28)/('Income Statement'!H25),"n.a."))</x:f>
        <x:v>n.a.</x:v>
      </x:c>
      <x:c r="I13" s="41" t="str">
        <x:f>IF(COUNT('Income Statement'!I28,'Income Statement'!I25)&lt;2,"n.a.",IF('Income Statement'!I25&lt;&gt;0,('Income Statement'!I28)/('Income Statement'!I25),"n.a."))</x:f>
        <x:v>n.a.</x:v>
      </x:c>
      <x:c r="J13" s="2"/>
      <x:c r="K13" s="2" t="str">
        <x:v>Includes discontinued operations if present in group net profit.</x:v>
      </x:c>
      <x:c r="L13" s="2"/>
      <x:c r="M13" s="2"/>
    </x:row>
    <x:row r="14" ht="23" customHeight="1">
      <x:c r="A14" s="1"/>
      <x:c r="B14" s="1"/>
      <x:c r="C14" s="20" t="str">
        <x:v>Financing and non-operating effects</x:v>
      </x:c>
      <x:c r="D14" s="26"/>
      <x:c r="E14" s="42" t="str">
        <x:f>IF(COUNT('Income Statement'!E25,'Income Statement'!E16)&lt;2,"n.a.",IF('Income Statement'!E16&lt;&gt;0,('Income Statement'!E25)/('Income Statement'!E16),"n.a."))</x:f>
        <x:v>n.a.</x:v>
      </x:c>
      <x:c r="F14" s="42" t="str">
        <x:f>IF(COUNT('Income Statement'!F25,'Income Statement'!F16)&lt;2,"n.a.",IF('Income Statement'!F16&lt;&gt;0,('Income Statement'!F25)/('Income Statement'!F16),"n.a."))</x:f>
        <x:v>n.a.</x:v>
      </x:c>
      <x:c r="G14" s="42" t="str">
        <x:f>IF(COUNT('Income Statement'!G25,'Income Statement'!G16)&lt;2,"n.a.",IF('Income Statement'!G16&lt;&gt;0,('Income Statement'!G25)/('Income Statement'!G16),"n.a."))</x:f>
        <x:v>n.a.</x:v>
      </x:c>
      <x:c r="H14" s="42" t="str">
        <x:f>IF(COUNT('Income Statement'!H25,'Income Statement'!H16)&lt;2,"n.a.",IF('Income Statement'!H16&lt;&gt;0,('Income Statement'!H25)/('Income Statement'!H16),"n.a."))</x:f>
        <x:v>n.a.</x:v>
      </x:c>
      <x:c r="I14" s="42" t="str">
        <x:f>IF(COUNT('Income Statement'!I25,'Income Statement'!I16)&lt;2,"n.a.",IF('Income Statement'!I16&lt;&gt;0,('Income Statement'!I25)/('Income Statement'!I16),"n.a."))</x:f>
        <x:v>n.a.</x:v>
      </x:c>
      <x:c r="J14" s="2"/>
      <x:c r="K14" s="2" t="str">
        <x:v>May include associate and other non-operating income.</x:v>
      </x:c>
      <x:c r="L14" s="2"/>
      <x:c r="M14" s="2"/>
    </x:row>
    <x:row r="15" ht="23" customHeight="1">
      <x:c r="A15" s="1"/>
      <x:c r="B15" s="1"/>
      <x:c r="C15" s="20" t="str">
        <x:v>EBIT margin</x:v>
      </x:c>
      <x:c r="D15" s="21"/>
      <x:c r="E15" s="37" t="str">
        <x:f>IF(COUNT('Profitability'!E9)&lt;1,"n.a.",IF(TRUE,'Profitability'!E9,"n.a."))</x:f>
        <x:v>n.a.</x:v>
      </x:c>
      <x:c r="F15" s="37" t="str">
        <x:f>IF(COUNT('Profitability'!F9)&lt;1,"n.a.",IF(TRUE,'Profitability'!F9,"n.a."))</x:f>
        <x:v>n.a.</x:v>
      </x:c>
      <x:c r="G15" s="37" t="str">
        <x:f>IF(COUNT('Profitability'!G9)&lt;1,"n.a.",IF(TRUE,'Profitability'!G9,"n.a."))</x:f>
        <x:v>n.a.</x:v>
      </x:c>
      <x:c r="H15" s="37" t="str">
        <x:f>IF(COUNT('Profitability'!H9)&lt;1,"n.a.",IF(TRUE,'Profitability'!H9,"n.a."))</x:f>
        <x:v>n.a.</x:v>
      </x:c>
      <x:c r="I15" s="37" t="str">
        <x:f>IF(COUNT('Profitability'!I9)&lt;1,"n.a.",IF(TRUE,'Profitability'!I9,"n.a."))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0" t="str">
        <x:v>ROE from five factors</x:v>
      </x:c>
      <x:c r="D16" s="21"/>
      <x:c r="E16" s="36" t="str">
        <x:f>IF(COUNT('DuPont'!E13,'DuPont'!E14,'DuPont'!E15,'DuPont'!E9,'DuPont'!E10)&lt;5,"n.a.",IF(TRUE,'DuPont'!E13*'DuPont'!E14*'DuPont'!E15*'DuPont'!E9*'DuPont'!E10,"n.a."))</x:f>
        <x:v>n.a.</x:v>
      </x:c>
      <x:c r="F16" s="36" t="str">
        <x:f>IF(COUNT('DuPont'!F13,'DuPont'!F14,'DuPont'!F15,'DuPont'!F9,'DuPont'!F10)&lt;5,"n.a.",IF(TRUE,'DuPont'!F13*'DuPont'!F14*'DuPont'!F15*'DuPont'!F9*'DuPont'!F10,"n.a."))</x:f>
        <x:v>n.a.</x:v>
      </x:c>
      <x:c r="G16" s="36" t="str">
        <x:f>IF(COUNT('DuPont'!G13,'DuPont'!G14,'DuPont'!G15,'DuPont'!G9,'DuPont'!G10)&lt;5,"n.a.",IF(TRUE,'DuPont'!G13*'DuPont'!G14*'DuPont'!G15*'DuPont'!G9*'DuPont'!G10,"n.a."))</x:f>
        <x:v>n.a.</x:v>
      </x:c>
      <x:c r="H16" s="36" t="str">
        <x:f>IF(COUNT('DuPont'!H13,'DuPont'!H14,'DuPont'!H15,'DuPont'!H9,'DuPont'!H10)&lt;5,"n.a.",IF(TRUE,'DuPont'!H13*'DuPont'!H14*'DuPont'!H15*'DuPont'!H9*'DuPont'!H10,"n.a."))</x:f>
        <x:v>n.a.</x:v>
      </x:c>
      <x:c r="I16" s="36" t="str">
        <x:f>IF(COUNT('DuPont'!I13,'DuPont'!I14,'DuPont'!I15,'DuPont'!I9,'DuPont'!I10)&lt;5,"n.a.",IF(TRUE,'DuPont'!I13*'DuPont'!I14*'DuPont'!I15*'DuPont'!I9*'DuPont'!I10,"n.a."))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Pre-tax ROE, average equity identity</x:v>
      </x:c>
      <x:c r="D17" s="21"/>
      <x:c r="E17" s="37" t="str">
        <x:f>IF(COUNT('Profitability'!E11,'DuPont'!E9,'DuPont'!E10)&lt;3,"n.a.",IF(TRUE,'Profitability'!E11*'DuPont'!E9*'DuPont'!E10,"n.a."))</x:f>
        <x:v>n.a.</x:v>
      </x:c>
      <x:c r="F17" s="37" t="str">
        <x:f>IF(COUNT('Profitability'!F11,'DuPont'!F9,'DuPont'!F10)&lt;3,"n.a.",IF(TRUE,'Profitability'!F11*'DuPont'!F9*'DuPont'!F10,"n.a."))</x:f>
        <x:v>n.a.</x:v>
      </x:c>
      <x:c r="G17" s="37" t="str">
        <x:f>IF(COUNT('Profitability'!G11,'DuPont'!G9,'DuPont'!G10)&lt;3,"n.a.",IF(TRUE,'Profitability'!G11*'DuPont'!G9*'DuPont'!G10,"n.a."))</x:f>
        <x:v>n.a.</x:v>
      </x:c>
      <x:c r="H17" s="37" t="str">
        <x:f>IF(COUNT('Profitability'!H11,'DuPont'!H9,'DuPont'!H10)&lt;3,"n.a.",IF(TRUE,'Profitability'!H11*'DuPont'!H9*'DuPont'!H10,"n.a."))</x:f>
        <x:v>n.a.</x:v>
      </x:c>
      <x:c r="I17" s="37" t="str">
        <x:f>IF(COUNT('Profitability'!I11,'DuPont'!I9,'DuPont'!I10)&lt;3,"n.a.",IF(TRUE,'Profitability'!I11*'DuPont'!I9*'DuPont'!I10,"n.a."))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Common Size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Income items as revenue percentages; balance items as asset percentages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Income statement as percentage of revenue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0" t="str">
        <x:v>Cost of sales</x:v>
      </x:c>
      <x:c r="D8" s="21"/>
      <x:c r="E8" s="36" t="str">
        <x:f>IF(COUNT('Income Statement'!E9,'Income Statement'!E8)&lt;2,"n.a.",IF(('Income Statement'!E8)&gt;0,('Income Statement'!E9)/('Income Statement'!E8),"n.a."))</x:f>
        <x:v>n.a.</x:v>
      </x:c>
      <x:c r="F8" s="36" t="str">
        <x:f>IF(COUNT('Income Statement'!F9,'Income Statement'!F8)&lt;2,"n.a.",IF(('Income Statement'!F8)&gt;0,('Income Statement'!F9)/('Income Statement'!F8),"n.a."))</x:f>
        <x:v>n.a.</x:v>
      </x:c>
      <x:c r="G8" s="36" t="str">
        <x:f>IF(COUNT('Income Statement'!G9,'Income Statement'!G8)&lt;2,"n.a.",IF(('Income Statement'!G8)&gt;0,('Income Statement'!G9)/('Income Statement'!G8),"n.a."))</x:f>
        <x:v>n.a.</x:v>
      </x:c>
      <x:c r="H8" s="36" t="str">
        <x:f>IF(COUNT('Income Statement'!H9,'Income Statement'!H8)&lt;2,"n.a.",IF(('Income Statement'!H8)&gt;0,('Income Statement'!H9)/('Income Statement'!H8),"n.a."))</x:f>
        <x:v>n.a.</x:v>
      </x:c>
      <x:c r="I8" s="36" t="str">
        <x:f>IF(COUNT('Income Statement'!I9,'Income Statement'!I8)&lt;2,"n.a.",IF(('Income Statement'!I8)&gt;0,('Income Statement'!I9)/('Income Statement'!I8),"n.a."))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Gross profit, reported</x:v>
      </x:c>
      <x:c r="D9" s="21"/>
      <x:c r="E9" s="37" t="str">
        <x:f>IF(COUNT('Income Statement'!E10,'Income Statement'!E8)&lt;2,"n.a.",IF(('Income Statement'!E8)&gt;0,('Income Statement'!E10)/('Income Statement'!E8),"n.a."))</x:f>
        <x:v>n.a.</x:v>
      </x:c>
      <x:c r="F9" s="37" t="str">
        <x:f>IF(COUNT('Income Statement'!F10,'Income Statement'!F8)&lt;2,"n.a.",IF(('Income Statement'!F8)&gt;0,('Income Statement'!F10)/('Income Statement'!F8),"n.a."))</x:f>
        <x:v>n.a.</x:v>
      </x:c>
      <x:c r="G9" s="37" t="str">
        <x:f>IF(COUNT('Income Statement'!G10,'Income Statement'!G8)&lt;2,"n.a.",IF(('Income Statement'!G8)&gt;0,('Income Statement'!G10)/('Income Statement'!G8),"n.a."))</x:f>
        <x:v>n.a.</x:v>
      </x:c>
      <x:c r="H9" s="37" t="str">
        <x:f>IF(COUNT('Income Statement'!H10,'Income Statement'!H8)&lt;2,"n.a.",IF(('Income Statement'!H8)&gt;0,('Income Statement'!H10)/('Income Statement'!H8),"n.a."))</x:f>
        <x:v>n.a.</x:v>
      </x:c>
      <x:c r="I9" s="37" t="str">
        <x:f>IF(COUNT('Income Statement'!I10,'Income Statement'!I8)&lt;2,"n.a.",IF(('Income Statement'!I8)&gt;0,('Income Statement'!I10)/('Income Statement'!I8),"n.a."))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0" t="str">
        <x:v>Operating profit (EBIT), reported</x:v>
      </x:c>
      <x:c r="D10" s="21"/>
      <x:c r="E10" s="36" t="str">
        <x:f>IF(COUNT('Income Statement'!E16,'Income Statement'!E8)&lt;2,"n.a.",IF(('Income Statement'!E8)&gt;0,('Income Statement'!E16)/('Income Statement'!E8),"n.a."))</x:f>
        <x:v>n.a.</x:v>
      </x:c>
      <x:c r="F10" s="36" t="str">
        <x:f>IF(COUNT('Income Statement'!F16,'Income Statement'!F8)&lt;2,"n.a.",IF(('Income Statement'!F8)&gt;0,('Income Statement'!F16)/('Income Statement'!F8),"n.a."))</x:f>
        <x:v>n.a.</x:v>
      </x:c>
      <x:c r="G10" s="36" t="str">
        <x:f>IF(COUNT('Income Statement'!G16,'Income Statement'!G8)&lt;2,"n.a.",IF(('Income Statement'!G8)&gt;0,('Income Statement'!G16)/('Income Statement'!G8),"n.a."))</x:f>
        <x:v>n.a.</x:v>
      </x:c>
      <x:c r="H10" s="36" t="str">
        <x:f>IF(COUNT('Income Statement'!H16,'Income Statement'!H8)&lt;2,"n.a.",IF(('Income Statement'!H8)&gt;0,('Income Statement'!H16)/('Income Statement'!H8),"n.a."))</x:f>
        <x:v>n.a.</x:v>
      </x:c>
      <x:c r="I10" s="36" t="str">
        <x:f>IF(COUNT('Income Statement'!I16,'Income Statement'!I8)&lt;2,"n.a.",IF(('Income Statement'!I8)&gt;0,('Income Statement'!I16)/('Income Statement'!I8),"n.a."))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Profit before tax, reported</x:v>
      </x:c>
      <x:c r="D11" s="21"/>
      <x:c r="E11" s="37" t="str">
        <x:f>IF(COUNT('Income Statement'!E25,'Income Statement'!E8)&lt;2,"n.a.",IF(('Income Statement'!E8)&gt;0,('Income Statement'!E25)/('Income Statement'!E8),"n.a."))</x:f>
        <x:v>n.a.</x:v>
      </x:c>
      <x:c r="F11" s="37" t="str">
        <x:f>IF(COUNT('Income Statement'!F25,'Income Statement'!F8)&lt;2,"n.a.",IF(('Income Statement'!F8)&gt;0,('Income Statement'!F25)/('Income Statement'!F8),"n.a."))</x:f>
        <x:v>n.a.</x:v>
      </x:c>
      <x:c r="G11" s="37" t="str">
        <x:f>IF(COUNT('Income Statement'!G25,'Income Statement'!G8)&lt;2,"n.a.",IF(('Income Statement'!G8)&gt;0,('Income Statement'!G25)/('Income Statement'!G8),"n.a."))</x:f>
        <x:v>n.a.</x:v>
      </x:c>
      <x:c r="H11" s="37" t="str">
        <x:f>IF(COUNT('Income Statement'!H25,'Income Statement'!H8)&lt;2,"n.a.",IF(('Income Statement'!H8)&gt;0,('Income Statement'!H25)/('Income Statement'!H8),"n.a."))</x:f>
        <x:v>n.a.</x:v>
      </x:c>
      <x:c r="I11" s="37" t="str">
        <x:f>IF(COUNT('Income Statement'!I25,'Income Statement'!I8)&lt;2,"n.a.",IF(('Income Statement'!I8)&gt;0,('Income Statement'!I25)/('Income Statement'!I8),"n.a."))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Income tax expense (benefit negative)</x:v>
      </x:c>
      <x:c r="D12" s="21"/>
      <x:c r="E12" s="36" t="str">
        <x:f>IF(COUNT('Income Statement'!E26,'Income Statement'!E8)&lt;2,"n.a.",IF(('Income Statement'!E8)&gt;0,('Income Statement'!E26)/('Income Statement'!E8),"n.a."))</x:f>
        <x:v>n.a.</x:v>
      </x:c>
      <x:c r="F12" s="36" t="str">
        <x:f>IF(COUNT('Income Statement'!F26,'Income Statement'!F8)&lt;2,"n.a.",IF(('Income Statement'!F8)&gt;0,('Income Statement'!F26)/('Income Statement'!F8),"n.a."))</x:f>
        <x:v>n.a.</x:v>
      </x:c>
      <x:c r="G12" s="36" t="str">
        <x:f>IF(COUNT('Income Statement'!G26,'Income Statement'!G8)&lt;2,"n.a.",IF(('Income Statement'!G8)&gt;0,('Income Statement'!G26)/('Income Statement'!G8),"n.a."))</x:f>
        <x:v>n.a.</x:v>
      </x:c>
      <x:c r="H12" s="36" t="str">
        <x:f>IF(COUNT('Income Statement'!H26,'Income Statement'!H8)&lt;2,"n.a.",IF(('Income Statement'!H8)&gt;0,('Income Statement'!H26)/('Income Statement'!H8),"n.a."))</x:f>
        <x:v>n.a.</x:v>
      </x:c>
      <x:c r="I12" s="36" t="str">
        <x:f>IF(COUNT('Income Statement'!I26,'Income Statement'!I8)&lt;2,"n.a.",IF(('Income Statement'!I8)&gt;0,('Income Statement'!I26)/('Income Statement'!I8),"n.a."))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0" t="str">
        <x:v>Net profit, total group</x:v>
      </x:c>
      <x:c r="D13" s="21"/>
      <x:c r="E13" s="37" t="str">
        <x:f>IF(COUNT('Income Statement'!E28,'Income Statement'!E8)&lt;2,"n.a.",IF(('Income Statement'!E8)&gt;0,('Income Statement'!E28)/('Income Statement'!E8),"n.a."))</x:f>
        <x:v>n.a.</x:v>
      </x:c>
      <x:c r="F13" s="37" t="str">
        <x:f>IF(COUNT('Income Statement'!F28,'Income Statement'!F8)&lt;2,"n.a.",IF(('Income Statement'!F8)&gt;0,('Income Statement'!F28)/('Income Statement'!F8),"n.a."))</x:f>
        <x:v>n.a.</x:v>
      </x:c>
      <x:c r="G13" s="37" t="str">
        <x:f>IF(COUNT('Income Statement'!G28,'Income Statement'!G8)&lt;2,"n.a.",IF(('Income Statement'!G8)&gt;0,('Income Statement'!G28)/('Income Statement'!G8),"n.a."))</x:f>
        <x:v>n.a.</x:v>
      </x:c>
      <x:c r="H13" s="37" t="str">
        <x:f>IF(COUNT('Income Statement'!H28,'Income Statement'!H8)&lt;2,"n.a.",IF(('Income Statement'!H8)&gt;0,('Income Statement'!H28)/('Income Statement'!H8),"n.a."))</x:f>
        <x:v>n.a.</x:v>
      </x:c>
      <x:c r="I13" s="37" t="str">
        <x:f>IF(COUNT('Income Statement'!I28,'Income Statement'!I8)&lt;2,"n.a.",IF(('Income Statement'!I8)&gt;0,('Income Statement'!I28)/('Income Statement'!I8),"n.a."))</x:f>
        <x:v>n.a.</x:v>
      </x:c>
      <x:c r="J13" s="2"/>
      <x:c r="K13" s="2"/>
      <x:c r="L13" s="2"/>
      <x:c r="M13" s="2"/>
    </x:row>
    <x:row r="14" ht="25" customHeight="1">
      <x:c r="A14" s="1"/>
      <x:c r="B14" s="1"/>
      <x:c r="C14" s="34" t="str">
        <x:v>Balance sheet as percentage of total assets</x:v>
      </x:c>
      <x:c r="D14" s="34"/>
      <x:c r="E14" s="34"/>
      <x:c r="F14" s="34"/>
      <x:c r="G14" s="34"/>
      <x:c r="H14" s="34"/>
      <x:c r="I14" s="34"/>
      <x:c r="J14" s="2"/>
      <x:c r="K14" s="2"/>
      <x:c r="L14" s="2"/>
      <x:c r="M14" s="2"/>
    </x:row>
    <x:row r="15" ht="23" customHeight="1">
      <x:c r="A15" s="1"/>
      <x:c r="B15" s="1"/>
      <x:c r="C15" s="20" t="str">
        <x:v>Cash and cash equivalents</x:v>
      </x:c>
      <x:c r="D15" s="21"/>
      <x:c r="E15" s="37" t="str">
        <x:f>IF(COUNT('Balance Sheet'!E8,'Balance Sheet'!E29)&lt;2,"n.a.",IF(('Balance Sheet'!E29)&gt;0,('Balance Sheet'!E8)/('Balance Sheet'!E29),"n.a."))</x:f>
        <x:v>n.a.</x:v>
      </x:c>
      <x:c r="F15" s="37" t="str">
        <x:f>IF(COUNT('Balance Sheet'!F8,'Balance Sheet'!F29)&lt;2,"n.a.",IF(('Balance Sheet'!F29)&gt;0,('Balance Sheet'!F8)/('Balance Sheet'!F29),"n.a."))</x:f>
        <x:v>n.a.</x:v>
      </x:c>
      <x:c r="G15" s="37" t="str">
        <x:f>IF(COUNT('Balance Sheet'!G8,'Balance Sheet'!G29)&lt;2,"n.a.",IF(('Balance Sheet'!G29)&gt;0,('Balance Sheet'!G8)/('Balance Sheet'!G29),"n.a."))</x:f>
        <x:v>n.a.</x:v>
      </x:c>
      <x:c r="H15" s="37" t="str">
        <x:f>IF(COUNT('Balance Sheet'!H8,'Balance Sheet'!H29)&lt;2,"n.a.",IF(('Balance Sheet'!H29)&gt;0,('Balance Sheet'!H8)/('Balance Sheet'!H29),"n.a."))</x:f>
        <x:v>n.a.</x:v>
      </x:c>
      <x:c r="I15" s="37" t="str">
        <x:f>IF(COUNT('Balance Sheet'!I8,'Balance Sheet'!I29)&lt;2,"n.a.",IF(('Balance Sheet'!I29)&gt;0,('Balance Sheet'!I8)/('Balance Sheet'!I29),"n.a."))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0" t="str">
        <x:v>Liquid short-term investments</x:v>
      </x:c>
      <x:c r="D16" s="21"/>
      <x:c r="E16" s="36" t="str">
        <x:f>IF(COUNT('Balance Sheet'!E9,'Balance Sheet'!E29)&lt;2,"n.a.",IF(('Balance Sheet'!E29)&gt;0,('Balance Sheet'!E9)/('Balance Sheet'!E29),"n.a."))</x:f>
        <x:v>n.a.</x:v>
      </x:c>
      <x:c r="F16" s="36" t="str">
        <x:f>IF(COUNT('Balance Sheet'!F9,'Balance Sheet'!F29)&lt;2,"n.a.",IF(('Balance Sheet'!F29)&gt;0,('Balance Sheet'!F9)/('Balance Sheet'!F29),"n.a."))</x:f>
        <x:v>n.a.</x:v>
      </x:c>
      <x:c r="G16" s="36" t="str">
        <x:f>IF(COUNT('Balance Sheet'!G9,'Balance Sheet'!G29)&lt;2,"n.a.",IF(('Balance Sheet'!G29)&gt;0,('Balance Sheet'!G9)/('Balance Sheet'!G29),"n.a."))</x:f>
        <x:v>n.a.</x:v>
      </x:c>
      <x:c r="H16" s="36" t="str">
        <x:f>IF(COUNT('Balance Sheet'!H9,'Balance Sheet'!H29)&lt;2,"n.a.",IF(('Balance Sheet'!H29)&gt;0,('Balance Sheet'!H9)/('Balance Sheet'!H29),"n.a."))</x:f>
        <x:v>n.a.</x:v>
      </x:c>
      <x:c r="I16" s="36" t="str">
        <x:f>IF(COUNT('Balance Sheet'!I9,'Balance Sheet'!I29)&lt;2,"n.a.",IF(('Balance Sheet'!I29)&gt;0,('Balance Sheet'!I9)/('Balance Sheet'!I29),"n.a."))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Trade receivables</x:v>
      </x:c>
      <x:c r="D17" s="21"/>
      <x:c r="E17" s="37" t="str">
        <x:f>IF(COUNT('Balance Sheet'!E10,'Balance Sheet'!E29)&lt;2,"n.a.",IF(('Balance Sheet'!E29)&gt;0,('Balance Sheet'!E10)/('Balance Sheet'!E29),"n.a."))</x:f>
        <x:v>n.a.</x:v>
      </x:c>
      <x:c r="F17" s="37" t="str">
        <x:f>IF(COUNT('Balance Sheet'!F10,'Balance Sheet'!F29)&lt;2,"n.a.",IF(('Balance Sheet'!F29)&gt;0,('Balance Sheet'!F10)/('Balance Sheet'!F29),"n.a."))</x:f>
        <x:v>n.a.</x:v>
      </x:c>
      <x:c r="G17" s="37" t="str">
        <x:f>IF(COUNT('Balance Sheet'!G10,'Balance Sheet'!G29)&lt;2,"n.a.",IF(('Balance Sheet'!G29)&gt;0,('Balance Sheet'!G10)/('Balance Sheet'!G29),"n.a."))</x:f>
        <x:v>n.a.</x:v>
      </x:c>
      <x:c r="H17" s="37" t="str">
        <x:f>IF(COUNT('Balance Sheet'!H10,'Balance Sheet'!H29)&lt;2,"n.a.",IF(('Balance Sheet'!H29)&gt;0,('Balance Sheet'!H10)/('Balance Sheet'!H29),"n.a."))</x:f>
        <x:v>n.a.</x:v>
      </x:c>
      <x:c r="I17" s="37" t="str">
        <x:f>IF(COUNT('Balance Sheet'!I10,'Balance Sheet'!I29)&lt;2,"n.a.",IF(('Balance Sheet'!I29)&gt;0,('Balance Sheet'!I10)/('Balance Sheet'!I29),"n.a."))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0" t="str">
        <x:v>Inventories</x:v>
      </x:c>
      <x:c r="D18" s="21"/>
      <x:c r="E18" s="36" t="str">
        <x:f>IF(COUNT('Balance Sheet'!E11,'Balance Sheet'!E29)&lt;2,"n.a.",IF(('Balance Sheet'!E29)&gt;0,('Balance Sheet'!E11)/('Balance Sheet'!E29),"n.a."))</x:f>
        <x:v>n.a.</x:v>
      </x:c>
      <x:c r="F18" s="36" t="str">
        <x:f>IF(COUNT('Balance Sheet'!F11,'Balance Sheet'!F29)&lt;2,"n.a.",IF(('Balance Sheet'!F29)&gt;0,('Balance Sheet'!F11)/('Balance Sheet'!F29),"n.a."))</x:f>
        <x:v>n.a.</x:v>
      </x:c>
      <x:c r="G18" s="36" t="str">
        <x:f>IF(COUNT('Balance Sheet'!G11,'Balance Sheet'!G29)&lt;2,"n.a.",IF(('Balance Sheet'!G29)&gt;0,('Balance Sheet'!G11)/('Balance Sheet'!G29),"n.a."))</x:f>
        <x:v>n.a.</x:v>
      </x:c>
      <x:c r="H18" s="36" t="str">
        <x:f>IF(COUNT('Balance Sheet'!H11,'Balance Sheet'!H29)&lt;2,"n.a.",IF(('Balance Sheet'!H29)&gt;0,('Balance Sheet'!H11)/('Balance Sheet'!H29),"n.a."))</x:f>
        <x:v>n.a.</x:v>
      </x:c>
      <x:c r="I18" s="36" t="str">
        <x:f>IF(COUNT('Balance Sheet'!I11,'Balance Sheet'!I29)&lt;2,"n.a.",IF(('Balance Sheet'!I29)&gt;0,('Balance Sheet'!I11)/('Balance Sheet'!I29),"n.a."))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Total current assets, reported</x:v>
      </x:c>
      <x:c r="D19" s="21"/>
      <x:c r="E19" s="37" t="str">
        <x:f>IF(COUNT('Balance Sheet'!E17,'Balance Sheet'!E29)&lt;2,"n.a.",IF(('Balance Sheet'!E29)&gt;0,('Balance Sheet'!E17)/('Balance Sheet'!E29),"n.a."))</x:f>
        <x:v>n.a.</x:v>
      </x:c>
      <x:c r="F19" s="37" t="str">
        <x:f>IF(COUNT('Balance Sheet'!F17,'Balance Sheet'!F29)&lt;2,"n.a.",IF(('Balance Sheet'!F29)&gt;0,('Balance Sheet'!F17)/('Balance Sheet'!F29),"n.a."))</x:f>
        <x:v>n.a.</x:v>
      </x:c>
      <x:c r="G19" s="37" t="str">
        <x:f>IF(COUNT('Balance Sheet'!G17,'Balance Sheet'!G29)&lt;2,"n.a.",IF(('Balance Sheet'!G29)&gt;0,('Balance Sheet'!G17)/('Balance Sheet'!G29),"n.a."))</x:f>
        <x:v>n.a.</x:v>
      </x:c>
      <x:c r="H19" s="37" t="str">
        <x:f>IF(COUNT('Balance Sheet'!H17,'Balance Sheet'!H29)&lt;2,"n.a.",IF(('Balance Sheet'!H29)&gt;0,('Balance Sheet'!H17)/('Balance Sheet'!H29),"n.a."))</x:f>
        <x:v>n.a.</x:v>
      </x:c>
      <x:c r="I19" s="37" t="str">
        <x:f>IF(COUNT('Balance Sheet'!I17,'Balance Sheet'!I29)&lt;2,"n.a.",IF(('Balance Sheet'!I29)&gt;0,('Balance Sheet'!I17)/('Balance Sheet'!I29),"n.a."))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Property, plant and equipment, net</x:v>
      </x:c>
      <x:c r="D20" s="21"/>
      <x:c r="E20" s="36" t="str">
        <x:f>IF(COUNT('Balance Sheet'!E19,'Balance Sheet'!E29)&lt;2,"n.a.",IF(('Balance Sheet'!E29)&gt;0,('Balance Sheet'!E19)/('Balance Sheet'!E29),"n.a."))</x:f>
        <x:v>n.a.</x:v>
      </x:c>
      <x:c r="F20" s="36" t="str">
        <x:f>IF(COUNT('Balance Sheet'!F19,'Balance Sheet'!F29)&lt;2,"n.a.",IF(('Balance Sheet'!F29)&gt;0,('Balance Sheet'!F19)/('Balance Sheet'!F29),"n.a."))</x:f>
        <x:v>n.a.</x:v>
      </x:c>
      <x:c r="G20" s="36" t="str">
        <x:f>IF(COUNT('Balance Sheet'!G19,'Balance Sheet'!G29)&lt;2,"n.a.",IF(('Balance Sheet'!G29)&gt;0,('Balance Sheet'!G19)/('Balance Sheet'!G29),"n.a."))</x:f>
        <x:v>n.a.</x:v>
      </x:c>
      <x:c r="H20" s="36" t="str">
        <x:f>IF(COUNT('Balance Sheet'!H19,'Balance Sheet'!H29)&lt;2,"n.a.",IF(('Balance Sheet'!H29)&gt;0,('Balance Sheet'!H19)/('Balance Sheet'!H29),"n.a."))</x:f>
        <x:v>n.a.</x:v>
      </x:c>
      <x:c r="I20" s="36" t="str">
        <x:f>IF(COUNT('Balance Sheet'!I19,'Balance Sheet'!I29)&lt;2,"n.a.",IF(('Balance Sheet'!I29)&gt;0,('Balance Sheet'!I19)/('Balance Sheet'!I29),"n.a."))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Goodwill</x:v>
      </x:c>
      <x:c r="D21" s="21"/>
      <x:c r="E21" s="37" t="str">
        <x:f>IF(COUNT('Balance Sheet'!E21,'Balance Sheet'!E29)&lt;2,"n.a.",IF(('Balance Sheet'!E29)&gt;0,('Balance Sheet'!E21)/('Balance Sheet'!E29),"n.a."))</x:f>
        <x:v>n.a.</x:v>
      </x:c>
      <x:c r="F21" s="37" t="str">
        <x:f>IF(COUNT('Balance Sheet'!F21,'Balance Sheet'!F29)&lt;2,"n.a.",IF(('Balance Sheet'!F29)&gt;0,('Balance Sheet'!F21)/('Balance Sheet'!F29),"n.a."))</x:f>
        <x:v>n.a.</x:v>
      </x:c>
      <x:c r="G21" s="37" t="str">
        <x:f>IF(COUNT('Balance Sheet'!G21,'Balance Sheet'!G29)&lt;2,"n.a.",IF(('Balance Sheet'!G29)&gt;0,('Balance Sheet'!G21)/('Balance Sheet'!G29),"n.a."))</x:f>
        <x:v>n.a.</x:v>
      </x:c>
      <x:c r="H21" s="37" t="str">
        <x:f>IF(COUNT('Balance Sheet'!H21,'Balance Sheet'!H29)&lt;2,"n.a.",IF(('Balance Sheet'!H29)&gt;0,('Balance Sheet'!H21)/('Balance Sheet'!H29),"n.a."))</x:f>
        <x:v>n.a.</x:v>
      </x:c>
      <x:c r="I21" s="37" t="str">
        <x:f>IF(COUNT('Balance Sheet'!I21,'Balance Sheet'!I29)&lt;2,"n.a.",IF(('Balance Sheet'!I29)&gt;0,('Balance Sheet'!I21)/('Balance Sheet'!I29),"n.a."))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Other intangible assets</x:v>
      </x:c>
      <x:c r="D22" s="21"/>
      <x:c r="E22" s="36" t="str">
        <x:f>IF(COUNT('Balance Sheet'!E22,'Balance Sheet'!E29)&lt;2,"n.a.",IF(('Balance Sheet'!E29)&gt;0,('Balance Sheet'!E22)/('Balance Sheet'!E29),"n.a."))</x:f>
        <x:v>n.a.</x:v>
      </x:c>
      <x:c r="F22" s="36" t="str">
        <x:f>IF(COUNT('Balance Sheet'!F22,'Balance Sheet'!F29)&lt;2,"n.a.",IF(('Balance Sheet'!F29)&gt;0,('Balance Sheet'!F22)/('Balance Sheet'!F29),"n.a."))</x:f>
        <x:v>n.a.</x:v>
      </x:c>
      <x:c r="G22" s="36" t="str">
        <x:f>IF(COUNT('Balance Sheet'!G22,'Balance Sheet'!G29)&lt;2,"n.a.",IF(('Balance Sheet'!G29)&gt;0,('Balance Sheet'!G22)/('Balance Sheet'!G29),"n.a."))</x:f>
        <x:v>n.a.</x:v>
      </x:c>
      <x:c r="H22" s="36" t="str">
        <x:f>IF(COUNT('Balance Sheet'!H22,'Balance Sheet'!H29)&lt;2,"n.a.",IF(('Balance Sheet'!H29)&gt;0,('Balance Sheet'!H22)/('Balance Sheet'!H29),"n.a."))</x:f>
        <x:v>n.a.</x:v>
      </x:c>
      <x:c r="I22" s="36" t="str">
        <x:f>IF(COUNT('Balance Sheet'!I22,'Balance Sheet'!I29)&lt;2,"n.a.",IF(('Balance Sheet'!I29)&gt;0,('Balance Sheet'!I22)/('Balance Sheet'!I29),"n.a."))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Total non-current assets, reported</x:v>
      </x:c>
      <x:c r="D23" s="21"/>
      <x:c r="E23" s="37" t="str">
        <x:f>IF(COUNT('Balance Sheet'!E28,'Balance Sheet'!E29)&lt;2,"n.a.",IF(('Balance Sheet'!E29)&gt;0,('Balance Sheet'!E28)/('Balance Sheet'!E29),"n.a."))</x:f>
        <x:v>n.a.</x:v>
      </x:c>
      <x:c r="F23" s="37" t="str">
        <x:f>IF(COUNT('Balance Sheet'!F28,'Balance Sheet'!F29)&lt;2,"n.a.",IF(('Balance Sheet'!F29)&gt;0,('Balance Sheet'!F28)/('Balance Sheet'!F29),"n.a."))</x:f>
        <x:v>n.a.</x:v>
      </x:c>
      <x:c r="G23" s="37" t="str">
        <x:f>IF(COUNT('Balance Sheet'!G28,'Balance Sheet'!G29)&lt;2,"n.a.",IF(('Balance Sheet'!G29)&gt;0,('Balance Sheet'!G28)/('Balance Sheet'!G29),"n.a."))</x:f>
        <x:v>n.a.</x:v>
      </x:c>
      <x:c r="H23" s="37" t="str">
        <x:f>IF(COUNT('Balance Sheet'!H28,'Balance Sheet'!H29)&lt;2,"n.a.",IF(('Balance Sheet'!H29)&gt;0,('Balance Sheet'!H28)/('Balance Sheet'!H29),"n.a."))</x:f>
        <x:v>n.a.</x:v>
      </x:c>
      <x:c r="I23" s="37" t="str">
        <x:f>IF(COUNT('Balance Sheet'!I28,'Balance Sheet'!I29)&lt;2,"n.a.",IF(('Balance Sheet'!I29)&gt;0,('Balance Sheet'!I28)/('Balance Sheet'!I29),"n.a."))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0" t="str">
        <x:v>Short-term borrowings and current maturities</x:v>
      </x:c>
      <x:c r="D24" s="21"/>
      <x:c r="E24" s="36" t="str">
        <x:f>IF(COUNT('Balance Sheet'!E32,'Balance Sheet'!E29)&lt;2,"n.a.",IF(('Balance Sheet'!E29)&gt;0,('Balance Sheet'!E32)/('Balance Sheet'!E29),"n.a."))</x:f>
        <x:v>n.a.</x:v>
      </x:c>
      <x:c r="F24" s="36" t="str">
        <x:f>IF(COUNT('Balance Sheet'!F32,'Balance Sheet'!F29)&lt;2,"n.a.",IF(('Balance Sheet'!F29)&gt;0,('Balance Sheet'!F32)/('Balance Sheet'!F29),"n.a."))</x:f>
        <x:v>n.a.</x:v>
      </x:c>
      <x:c r="G24" s="36" t="str">
        <x:f>IF(COUNT('Balance Sheet'!G32,'Balance Sheet'!G29)&lt;2,"n.a.",IF(('Balance Sheet'!G29)&gt;0,('Balance Sheet'!G32)/('Balance Sheet'!G29),"n.a."))</x:f>
        <x:v>n.a.</x:v>
      </x:c>
      <x:c r="H24" s="36" t="str">
        <x:f>IF(COUNT('Balance Sheet'!H32,'Balance Sheet'!H29)&lt;2,"n.a.",IF(('Balance Sheet'!H29)&gt;0,('Balance Sheet'!H32)/('Balance Sheet'!H29),"n.a."))</x:f>
        <x:v>n.a.</x:v>
      </x:c>
      <x:c r="I24" s="36" t="str">
        <x:f>IF(COUNT('Balance Sheet'!I32,'Balance Sheet'!I29)&lt;2,"n.a.",IF(('Balance Sheet'!I29)&gt;0,('Balance Sheet'!I32)/('Balance Sheet'!I29),"n.a."))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20" t="str">
        <x:v>Long-term borrowings</x:v>
      </x:c>
      <x:c r="D25" s="21"/>
      <x:c r="E25" s="37" t="str">
        <x:f>IF(COUNT('Balance Sheet'!E39,'Balance Sheet'!E29)&lt;2,"n.a.",IF(('Balance Sheet'!E29)&gt;0,('Balance Sheet'!E39)/('Balance Sheet'!E29),"n.a."))</x:f>
        <x:v>n.a.</x:v>
      </x:c>
      <x:c r="F25" s="37" t="str">
        <x:f>IF(COUNT('Balance Sheet'!F39,'Balance Sheet'!F29)&lt;2,"n.a.",IF(('Balance Sheet'!F29)&gt;0,('Balance Sheet'!F39)/('Balance Sheet'!F29),"n.a."))</x:f>
        <x:v>n.a.</x:v>
      </x:c>
      <x:c r="G25" s="37" t="str">
        <x:f>IF(COUNT('Balance Sheet'!G39,'Balance Sheet'!G29)&lt;2,"n.a.",IF(('Balance Sheet'!G29)&gt;0,('Balance Sheet'!G39)/('Balance Sheet'!G29),"n.a."))</x:f>
        <x:v>n.a.</x:v>
      </x:c>
      <x:c r="H25" s="37" t="str">
        <x:f>IF(COUNT('Balance Sheet'!H39,'Balance Sheet'!H29)&lt;2,"n.a.",IF(('Balance Sheet'!H29)&gt;0,('Balance Sheet'!H39)/('Balance Sheet'!H29),"n.a."))</x:f>
        <x:v>n.a.</x:v>
      </x:c>
      <x:c r="I25" s="37" t="str">
        <x:f>IF(COUNT('Balance Sheet'!I39,'Balance Sheet'!I29)&lt;2,"n.a.",IF(('Balance Sheet'!I29)&gt;0,('Balance Sheet'!I39)/('Balance Sheet'!I29),"n.a."))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20" t="str">
        <x:v>Total current liabilities, reported</x:v>
      </x:c>
      <x:c r="D26" s="21"/>
      <x:c r="E26" s="36" t="str">
        <x:f>IF(COUNT('Balance Sheet'!E37,'Balance Sheet'!E29)&lt;2,"n.a.",IF(('Balance Sheet'!E29)&gt;0,('Balance Sheet'!E37)/('Balance Sheet'!E29),"n.a."))</x:f>
        <x:v>n.a.</x:v>
      </x:c>
      <x:c r="F26" s="36" t="str">
        <x:f>IF(COUNT('Balance Sheet'!F37,'Balance Sheet'!F29)&lt;2,"n.a.",IF(('Balance Sheet'!F29)&gt;0,('Balance Sheet'!F37)/('Balance Sheet'!F29),"n.a."))</x:f>
        <x:v>n.a.</x:v>
      </x:c>
      <x:c r="G26" s="36" t="str">
        <x:f>IF(COUNT('Balance Sheet'!G37,'Balance Sheet'!G29)&lt;2,"n.a.",IF(('Balance Sheet'!G29)&gt;0,('Balance Sheet'!G37)/('Balance Sheet'!G29),"n.a."))</x:f>
        <x:v>n.a.</x:v>
      </x:c>
      <x:c r="H26" s="36" t="str">
        <x:f>IF(COUNT('Balance Sheet'!H37,'Balance Sheet'!H29)&lt;2,"n.a.",IF(('Balance Sheet'!H29)&gt;0,('Balance Sheet'!H37)/('Balance Sheet'!H29),"n.a."))</x:f>
        <x:v>n.a.</x:v>
      </x:c>
      <x:c r="I26" s="36" t="str">
        <x:f>IF(COUNT('Balance Sheet'!I37,'Balance Sheet'!I29)&lt;2,"n.a.",IF(('Balance Sheet'!I29)&gt;0,('Balance Sheet'!I37)/('Balance Sheet'!I29),"n.a."))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20" t="str">
        <x:v>Total non-current liabilities, reported</x:v>
      </x:c>
      <x:c r="D27" s="21"/>
      <x:c r="E27" s="37" t="str">
        <x:f>IF(COUNT('Balance Sheet'!E44,'Balance Sheet'!E29)&lt;2,"n.a.",IF(('Balance Sheet'!E29)&gt;0,('Balance Sheet'!E44)/('Balance Sheet'!E29),"n.a."))</x:f>
        <x:v>n.a.</x:v>
      </x:c>
      <x:c r="F27" s="37" t="str">
        <x:f>IF(COUNT('Balance Sheet'!F44,'Balance Sheet'!F29)&lt;2,"n.a.",IF(('Balance Sheet'!F29)&gt;0,('Balance Sheet'!F44)/('Balance Sheet'!F29),"n.a."))</x:f>
        <x:v>n.a.</x:v>
      </x:c>
      <x:c r="G27" s="37" t="str">
        <x:f>IF(COUNT('Balance Sheet'!G44,'Balance Sheet'!G29)&lt;2,"n.a.",IF(('Balance Sheet'!G29)&gt;0,('Balance Sheet'!G44)/('Balance Sheet'!G29),"n.a."))</x:f>
        <x:v>n.a.</x:v>
      </x:c>
      <x:c r="H27" s="37" t="str">
        <x:f>IF(COUNT('Balance Sheet'!H44,'Balance Sheet'!H29)&lt;2,"n.a.",IF(('Balance Sheet'!H29)&gt;0,('Balance Sheet'!H44)/('Balance Sheet'!H29),"n.a."))</x:f>
        <x:v>n.a.</x:v>
      </x:c>
      <x:c r="I27" s="37" t="str">
        <x:f>IF(COUNT('Balance Sheet'!I44,'Balance Sheet'!I29)&lt;2,"n.a.",IF(('Balance Sheet'!I29)&gt;0,('Balance Sheet'!I44)/('Balance Sheet'!I29),"n.a."))</x:f>
        <x:v>n.a.</x:v>
      </x:c>
      <x:c r="J27" s="2"/>
      <x:c r="K27" s="2"/>
      <x:c r="L27" s="2"/>
      <x:c r="M27" s="2"/>
    </x:row>
    <x:row r="28" ht="23" customHeight="1">
      <x:c r="A28" s="1"/>
      <x:c r="B28" s="1"/>
      <x:c r="C28" s="20" t="str">
        <x:v>Total liabilities, reported</x:v>
      </x:c>
      <x:c r="D28" s="21"/>
      <x:c r="E28" s="36" t="str">
        <x:f>IF(COUNT('Balance Sheet'!E45,'Balance Sheet'!E29)&lt;2,"n.a.",IF(('Balance Sheet'!E29)&gt;0,('Balance Sheet'!E45)/('Balance Sheet'!E29),"n.a."))</x:f>
        <x:v>n.a.</x:v>
      </x:c>
      <x:c r="F28" s="36" t="str">
        <x:f>IF(COUNT('Balance Sheet'!F45,'Balance Sheet'!F29)&lt;2,"n.a.",IF(('Balance Sheet'!F29)&gt;0,('Balance Sheet'!F45)/('Balance Sheet'!F29),"n.a."))</x:f>
        <x:v>n.a.</x:v>
      </x:c>
      <x:c r="G28" s="36" t="str">
        <x:f>IF(COUNT('Balance Sheet'!G45,'Balance Sheet'!G29)&lt;2,"n.a.",IF(('Balance Sheet'!G29)&gt;0,('Balance Sheet'!G45)/('Balance Sheet'!G29),"n.a."))</x:f>
        <x:v>n.a.</x:v>
      </x:c>
      <x:c r="H28" s="36" t="str">
        <x:f>IF(COUNT('Balance Sheet'!H45,'Balance Sheet'!H29)&lt;2,"n.a.",IF(('Balance Sheet'!H29)&gt;0,('Balance Sheet'!H45)/('Balance Sheet'!H29),"n.a."))</x:f>
        <x:v>n.a.</x:v>
      </x:c>
      <x:c r="I28" s="36" t="str">
        <x:f>IF(COUNT('Balance Sheet'!I45,'Balance Sheet'!I29)&lt;2,"n.a.",IF(('Balance Sheet'!I29)&gt;0,('Balance Sheet'!I45)/('Balance Sheet'!I29),"n.a."))</x:f>
        <x:v>n.a.</x:v>
      </x:c>
      <x:c r="J28" s="2"/>
      <x:c r="K28" s="2"/>
      <x:c r="L28" s="2"/>
      <x:c r="M28" s="2"/>
    </x:row>
    <x:row r="29" ht="23" customHeight="1">
      <x:c r="A29" s="1"/>
      <x:c r="B29" s="1"/>
      <x:c r="C29" s="20" t="str">
        <x:v>Total equity, reported</x:v>
      </x:c>
      <x:c r="D29" s="21"/>
      <x:c r="E29" s="37" t="str">
        <x:f>IF(COUNT('Balance Sheet'!E52,'Balance Sheet'!E29)&lt;2,"n.a.",IF(('Balance Sheet'!E29)&gt;0,('Balance Sheet'!E52)/('Balance Sheet'!E29),"n.a."))</x:f>
        <x:v>n.a.</x:v>
      </x:c>
      <x:c r="F29" s="37" t="str">
        <x:f>IF(COUNT('Balance Sheet'!F52,'Balance Sheet'!F29)&lt;2,"n.a.",IF(('Balance Sheet'!F29)&gt;0,('Balance Sheet'!F52)/('Balance Sheet'!F29),"n.a."))</x:f>
        <x:v>n.a.</x:v>
      </x:c>
      <x:c r="G29" s="37" t="str">
        <x:f>IF(COUNT('Balance Sheet'!G52,'Balance Sheet'!G29)&lt;2,"n.a.",IF(('Balance Sheet'!G29)&gt;0,('Balance Sheet'!G52)/('Balance Sheet'!G29),"n.a."))</x:f>
        <x:v>n.a.</x:v>
      </x:c>
      <x:c r="H29" s="37" t="str">
        <x:f>IF(COUNT('Balance Sheet'!H52,'Balance Sheet'!H29)&lt;2,"n.a.",IF(('Balance Sheet'!H29)&gt;0,('Balance Sheet'!H52)/('Balance Sheet'!H29),"n.a."))</x:f>
        <x:v>n.a.</x:v>
      </x:c>
      <x:c r="I29" s="37" t="str">
        <x:f>IF(COUNT('Balance Sheet'!I52,'Balance Sheet'!I29)&lt;2,"n.a.",IF(('Balance Sheet'!I29)&gt;0,('Balance Sheet'!I52)/('Balance Sheet'!I29),"n.a."))</x:f>
        <x:v>n.a.</x:v>
      </x:c>
      <x:c r="J29" s="2"/>
      <x:c r="K29" s="2"/>
      <x:c r="L29" s="2"/>
      <x:c r="M29" s="2"/>
    </x:row>
    <x:row r="30" ht="23" customHeight="1">
      <x:c r="A30" s="1"/>
      <x:c r="B30" s="1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3" customHeight="1">
      <x:c r="A31" s="1"/>
      <x:c r="B31" s="1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3" customHeight="1">
      <x:c r="A32" s="1"/>
      <x:c r="B32" s="1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Capital Calculations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Debt, invested capital and two-point average balances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Capital and earnings bases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" t="str">
        <x:v>Interest-bearing debt including leases</x:v>
      </x:c>
      <x:c r="D8" s="39" t="str">
        <x:f>IF(COUNT('Balance Sheet'!D32,'Balance Sheet'!D39,'Balance Sheet'!D33,'Balance Sheet'!D40)&lt;4,"n.a.",IF(TRUE,'Balance Sheet'!D32+'Balance Sheet'!D39+'Balance Sheet'!D33+'Balance Sheet'!D40,"n.a."))</x:f>
        <x:v>n.a.</x:v>
      </x:c>
      <x:c r="E8" s="39" t="str">
        <x:f>IF(COUNT('Balance Sheet'!E32,'Balance Sheet'!E39,'Balance Sheet'!E33,'Balance Sheet'!E40)&lt;4,"n.a.",IF(TRUE,'Balance Sheet'!E32+'Balance Sheet'!E39+'Balance Sheet'!E33+'Balance Sheet'!E40,"n.a."))</x:f>
        <x:v>n.a.</x:v>
      </x:c>
      <x:c r="F8" s="39" t="str">
        <x:f>IF(COUNT('Balance Sheet'!F32,'Balance Sheet'!F39,'Balance Sheet'!F33,'Balance Sheet'!F40)&lt;4,"n.a.",IF(TRUE,'Balance Sheet'!F32+'Balance Sheet'!F39+'Balance Sheet'!F33+'Balance Sheet'!F40,"n.a."))</x:f>
        <x:v>n.a.</x:v>
      </x:c>
      <x:c r="G8" s="39" t="str">
        <x:f>IF(COUNT('Balance Sheet'!G32,'Balance Sheet'!G39,'Balance Sheet'!G33,'Balance Sheet'!G40)&lt;4,"n.a.",IF(TRUE,'Balance Sheet'!G32+'Balance Sheet'!G39+'Balance Sheet'!G33+'Balance Sheet'!G40,"n.a."))</x:f>
        <x:v>n.a.</x:v>
      </x:c>
      <x:c r="H8" s="39" t="str">
        <x:f>IF(COUNT('Balance Sheet'!H32,'Balance Sheet'!H39,'Balance Sheet'!H33,'Balance Sheet'!H40)&lt;4,"n.a.",IF(TRUE,'Balance Sheet'!H32+'Balance Sheet'!H39+'Balance Sheet'!H33+'Balance Sheet'!H40,"n.a."))</x:f>
        <x:v>n.a.</x:v>
      </x:c>
      <x:c r="I8" s="39" t="str">
        <x:f>IF(COUNT('Balance Sheet'!I32,'Balance Sheet'!I39,'Balance Sheet'!I33,'Balance Sheet'!I40)&lt;4,"n.a.",IF(TRUE,'Balance Sheet'!I32+'Balance Sheet'!I39+'Balance Sheet'!I33+'Balance Sheet'!I40,"n.a."))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" t="str">
        <x:v>Net debt after cash and liquid investments</x:v>
      </x:c>
      <x:c r="D9" s="43" t="str">
        <x:f>IF(COUNT('Capital Calculations'!D8,'Balance Sheet'!D8,'Balance Sheet'!D9)&lt;3,"n.a.",IF(TRUE,'Capital Calculations'!D8-'Balance Sheet'!D8-'Balance Sheet'!D9,"n.a."))</x:f>
        <x:v>n.a.</x:v>
      </x:c>
      <x:c r="E9" s="43" t="str">
        <x:f>IF(COUNT('Capital Calculations'!E8,'Balance Sheet'!E8,'Balance Sheet'!E9)&lt;3,"n.a.",IF(TRUE,'Capital Calculations'!E8-'Balance Sheet'!E8-'Balance Sheet'!E9,"n.a."))</x:f>
        <x:v>n.a.</x:v>
      </x:c>
      <x:c r="F9" s="43" t="str">
        <x:f>IF(COUNT('Capital Calculations'!F8,'Balance Sheet'!F8,'Balance Sheet'!F9)&lt;3,"n.a.",IF(TRUE,'Capital Calculations'!F8-'Balance Sheet'!F8-'Balance Sheet'!F9,"n.a."))</x:f>
        <x:v>n.a.</x:v>
      </x:c>
      <x:c r="G9" s="43" t="str">
        <x:f>IF(COUNT('Capital Calculations'!G8,'Balance Sheet'!G8,'Balance Sheet'!G9)&lt;3,"n.a.",IF(TRUE,'Capital Calculations'!G8-'Balance Sheet'!G8-'Balance Sheet'!G9,"n.a."))</x:f>
        <x:v>n.a.</x:v>
      </x:c>
      <x:c r="H9" s="43" t="str">
        <x:f>IF(COUNT('Capital Calculations'!H8,'Balance Sheet'!H8,'Balance Sheet'!H9)&lt;3,"n.a.",IF(TRUE,'Capital Calculations'!H8-'Balance Sheet'!H8-'Balance Sheet'!H9,"n.a."))</x:f>
        <x:v>n.a.</x:v>
      </x:c>
      <x:c r="I9" s="43" t="str">
        <x:f>IF(COUNT('Capital Calculations'!I8,'Balance Sheet'!I8,'Balance Sheet'!I9)&lt;3,"n.a.",IF(TRUE,'Capital Calculations'!I8-'Balance Sheet'!I8-'Balance Sheet'!I9,"n.a."))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" t="str">
        <x:v>Net working capital</x:v>
      </x:c>
      <x:c r="D10" s="39" t="str">
        <x:f>IF(COUNT('Balance Sheet'!D17,'Balance Sheet'!D37)&lt;2,"n.a.",IF(TRUE,'Balance Sheet'!D17-'Balance Sheet'!D37,"n.a."))</x:f>
        <x:v>n.a.</x:v>
      </x:c>
      <x:c r="E10" s="39" t="str">
        <x:f>IF(COUNT('Balance Sheet'!E17,'Balance Sheet'!E37)&lt;2,"n.a.",IF(TRUE,'Balance Sheet'!E17-'Balance Sheet'!E37,"n.a."))</x:f>
        <x:v>n.a.</x:v>
      </x:c>
      <x:c r="F10" s="39" t="str">
        <x:f>IF(COUNT('Balance Sheet'!F17,'Balance Sheet'!F37)&lt;2,"n.a.",IF(TRUE,'Balance Sheet'!F17-'Balance Sheet'!F37,"n.a."))</x:f>
        <x:v>n.a.</x:v>
      </x:c>
      <x:c r="G10" s="39" t="str">
        <x:f>IF(COUNT('Balance Sheet'!G17,'Balance Sheet'!G37)&lt;2,"n.a.",IF(TRUE,'Balance Sheet'!G17-'Balance Sheet'!G37,"n.a."))</x:f>
        <x:v>n.a.</x:v>
      </x:c>
      <x:c r="H10" s="39" t="str">
        <x:f>IF(COUNT('Balance Sheet'!H17,'Balance Sheet'!H37)&lt;2,"n.a.",IF(TRUE,'Balance Sheet'!H17-'Balance Sheet'!H37,"n.a."))</x:f>
        <x:v>n.a.</x:v>
      </x:c>
      <x:c r="I10" s="39" t="str">
        <x:f>IF(COUNT('Balance Sheet'!I17,'Balance Sheet'!I37)&lt;2,"n.a.",IF(TRUE,'Balance Sheet'!I17-'Balance Sheet'!I37,"n.a."))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" t="str">
        <x:v>Operating working capital</x:v>
      </x:c>
      <x:c r="D11" s="43" t="str">
        <x:f>IF(COUNT('Balance Sheet'!D10,'Balance Sheet'!D11,'Balance Sheet'!D31)&lt;3,"n.a.",IF(TRUE,'Balance Sheet'!D10+'Balance Sheet'!D11-'Balance Sheet'!D31,"n.a."))</x:f>
        <x:v>n.a.</x:v>
      </x:c>
      <x:c r="E11" s="43" t="str">
        <x:f>IF(COUNT('Balance Sheet'!E10,'Balance Sheet'!E11,'Balance Sheet'!E31)&lt;3,"n.a.",IF(TRUE,'Balance Sheet'!E10+'Balance Sheet'!E11-'Balance Sheet'!E31,"n.a."))</x:f>
        <x:v>n.a.</x:v>
      </x:c>
      <x:c r="F11" s="43" t="str">
        <x:f>IF(COUNT('Balance Sheet'!F10,'Balance Sheet'!F11,'Balance Sheet'!F31)&lt;3,"n.a.",IF(TRUE,'Balance Sheet'!F10+'Balance Sheet'!F11-'Balance Sheet'!F31,"n.a."))</x:f>
        <x:v>n.a.</x:v>
      </x:c>
      <x:c r="G11" s="43" t="str">
        <x:f>IF(COUNT('Balance Sheet'!G10,'Balance Sheet'!G11,'Balance Sheet'!G31)&lt;3,"n.a.",IF(TRUE,'Balance Sheet'!G10+'Balance Sheet'!G11-'Balance Sheet'!G31,"n.a."))</x:f>
        <x:v>n.a.</x:v>
      </x:c>
      <x:c r="H11" s="43" t="str">
        <x:f>IF(COUNT('Balance Sheet'!H10,'Balance Sheet'!H11,'Balance Sheet'!H31)&lt;3,"n.a.",IF(TRUE,'Balance Sheet'!H10+'Balance Sheet'!H11-'Balance Sheet'!H31,"n.a."))</x:f>
        <x:v>n.a.</x:v>
      </x:c>
      <x:c r="I11" s="43" t="str">
        <x:f>IF(COUNT('Balance Sheet'!I10,'Balance Sheet'!I11,'Balance Sheet'!I31)&lt;3,"n.a.",IF(TRUE,'Balance Sheet'!I10+'Balance Sheet'!I11-'Balance Sheet'!I31,"n.a."))</x:f>
        <x:v>n.a.</x:v>
      </x:c>
      <x:c r="J11" s="2"/>
      <x:c r="K11" s="2" t="str">
        <x:v>Trade receivables + inventory − trade payables.</x:v>
      </x:c>
      <x:c r="L11" s="2"/>
      <x:c r="M11" s="2"/>
    </x:row>
    <x:row r="12" ht="23" customHeight="1">
      <x:c r="A12" s="1"/>
      <x:c r="B12" s="1"/>
      <x:c r="C12" s="2" t="str">
        <x:v>Invested capital, cash-adjusted</x:v>
      </x:c>
      <x:c r="D12" s="39" t="str">
        <x:f>IF(COUNT('Capital Calculations'!D8,'Balance Sheet'!D52,'Balance Sheet'!D8,'Balance Sheet'!D9)&lt;4,"n.a.",IF(TRUE,'Capital Calculations'!D8+'Balance Sheet'!D52-'Balance Sheet'!D8-'Balance Sheet'!D9,"n.a."))</x:f>
        <x:v>n.a.</x:v>
      </x:c>
      <x:c r="E12" s="39" t="str">
        <x:f>IF(COUNT('Capital Calculations'!E8,'Balance Sheet'!E52,'Balance Sheet'!E8,'Balance Sheet'!E9)&lt;4,"n.a.",IF(TRUE,'Capital Calculations'!E8+'Balance Sheet'!E52-'Balance Sheet'!E8-'Balance Sheet'!E9,"n.a."))</x:f>
        <x:v>n.a.</x:v>
      </x:c>
      <x:c r="F12" s="39" t="str">
        <x:f>IF(COUNT('Capital Calculations'!F8,'Balance Sheet'!F52,'Balance Sheet'!F8,'Balance Sheet'!F9)&lt;4,"n.a.",IF(TRUE,'Capital Calculations'!F8+'Balance Sheet'!F52-'Balance Sheet'!F8-'Balance Sheet'!F9,"n.a."))</x:f>
        <x:v>n.a.</x:v>
      </x:c>
      <x:c r="G12" s="39" t="str">
        <x:f>IF(COUNT('Capital Calculations'!G8,'Balance Sheet'!G52,'Balance Sheet'!G8,'Balance Sheet'!G9)&lt;4,"n.a.",IF(TRUE,'Capital Calculations'!G8+'Balance Sheet'!G52-'Balance Sheet'!G8-'Balance Sheet'!G9,"n.a."))</x:f>
        <x:v>n.a.</x:v>
      </x:c>
      <x:c r="H12" s="39" t="str">
        <x:f>IF(COUNT('Capital Calculations'!H8,'Balance Sheet'!H52,'Balance Sheet'!H8,'Balance Sheet'!H9)&lt;4,"n.a.",IF(TRUE,'Capital Calculations'!H8+'Balance Sheet'!H52-'Balance Sheet'!H8-'Balance Sheet'!H9,"n.a."))</x:f>
        <x:v>n.a.</x:v>
      </x:c>
      <x:c r="I12" s="39" t="str">
        <x:f>IF(COUNT('Capital Calculations'!I8,'Balance Sheet'!I52,'Balance Sheet'!I8,'Balance Sheet'!I9)&lt;4,"n.a.",IF(TRUE,'Capital Calculations'!I8+'Balance Sheet'!I52-'Balance Sheet'!I8-'Balance Sheet'!I9,"n.a."))</x:f>
        <x:v>n.a.</x:v>
      </x:c>
      <x:c r="J12" s="2"/>
      <x:c r="K12" s="2" t="str">
        <x:v>Includes leases; subtracts all cash and liquid investments.</x:v>
      </x:c>
      <x:c r="L12" s="2"/>
      <x:c r="M12" s="2"/>
    </x:row>
    <x:row r="13" ht="23" customHeight="1">
      <x:c r="A13" s="1"/>
      <x:c r="B13" s="1"/>
      <x:c r="C13" s="2" t="str">
        <x:v>Capital employed</x:v>
      </x:c>
      <x:c r="D13" s="43" t="str">
        <x:f>IF(COUNT('Balance Sheet'!D29,'Balance Sheet'!D37)&lt;2,"n.a.",IF(TRUE,'Balance Sheet'!D29-'Balance Sheet'!D37,"n.a."))</x:f>
        <x:v>n.a.</x:v>
      </x:c>
      <x:c r="E13" s="43" t="str">
        <x:f>IF(COUNT('Balance Sheet'!E29,'Balance Sheet'!E37)&lt;2,"n.a.",IF(TRUE,'Balance Sheet'!E29-'Balance Sheet'!E37,"n.a."))</x:f>
        <x:v>n.a.</x:v>
      </x:c>
      <x:c r="F13" s="43" t="str">
        <x:f>IF(COUNT('Balance Sheet'!F29,'Balance Sheet'!F37)&lt;2,"n.a.",IF(TRUE,'Balance Sheet'!F29-'Balance Sheet'!F37,"n.a."))</x:f>
        <x:v>n.a.</x:v>
      </x:c>
      <x:c r="G13" s="43" t="str">
        <x:f>IF(COUNT('Balance Sheet'!G29,'Balance Sheet'!G37)&lt;2,"n.a.",IF(TRUE,'Balance Sheet'!G29-'Balance Sheet'!G37,"n.a."))</x:f>
        <x:v>n.a.</x:v>
      </x:c>
      <x:c r="H13" s="43" t="str">
        <x:f>IF(COUNT('Balance Sheet'!H29,'Balance Sheet'!H37)&lt;2,"n.a.",IF(TRUE,'Balance Sheet'!H29-'Balance Sheet'!H37,"n.a."))</x:f>
        <x:v>n.a.</x:v>
      </x:c>
      <x:c r="I13" s="43" t="str">
        <x:f>IF(COUNT('Balance Sheet'!I29,'Balance Sheet'!I37)&lt;2,"n.a.",IF(TRUE,'Balance Sheet'!I29-'Balance Sheet'!I37,"n.a."))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" t="str">
        <x:v>Common equity attributable to parent</x:v>
      </x:c>
      <x:c r="D14" s="39" t="str">
        <x:f>IF(COUNT('Balance Sheet'!D50,'Balance Sheet'!D53)&lt;2,"n.a.",IF(TRUE,'Balance Sheet'!D50-'Balance Sheet'!D53,"n.a."))</x:f>
        <x:v>n.a.</x:v>
      </x:c>
      <x:c r="E14" s="39" t="str">
        <x:f>IF(COUNT('Balance Sheet'!E50,'Balance Sheet'!E53)&lt;2,"n.a.",IF(TRUE,'Balance Sheet'!E50-'Balance Sheet'!E53,"n.a."))</x:f>
        <x:v>n.a.</x:v>
      </x:c>
      <x:c r="F14" s="39" t="str">
        <x:f>IF(COUNT('Balance Sheet'!F50,'Balance Sheet'!F53)&lt;2,"n.a.",IF(TRUE,'Balance Sheet'!F50-'Balance Sheet'!F53,"n.a."))</x:f>
        <x:v>n.a.</x:v>
      </x:c>
      <x:c r="G14" s="39" t="str">
        <x:f>IF(COUNT('Balance Sheet'!G50,'Balance Sheet'!G53)&lt;2,"n.a.",IF(TRUE,'Balance Sheet'!G50-'Balance Sheet'!G53,"n.a."))</x:f>
        <x:v>n.a.</x:v>
      </x:c>
      <x:c r="H14" s="39" t="str">
        <x:f>IF(COUNT('Balance Sheet'!H50,'Balance Sheet'!H53)&lt;2,"n.a.",IF(TRUE,'Balance Sheet'!H50-'Balance Sheet'!H53,"n.a."))</x:f>
        <x:v>n.a.</x:v>
      </x:c>
      <x:c r="I14" s="39" t="str">
        <x:f>IF(COUNT('Balance Sheet'!I50,'Balance Sheet'!I53)&lt;2,"n.a.",IF(TRUE,'Balance Sheet'!I50-'Balance Sheet'!I53,"n.a."))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" t="str">
        <x:v>Earnings attributable to ordinary shares</x:v>
      </x:c>
      <x:c r="D15" s="43" t="str">
        <x:f>IF(COUNT('Income Statement'!D29,'Income Statement'!D31)&lt;2,"n.a.",IF(TRUE,'Income Statement'!D29-'Income Statement'!D31,"n.a."))</x:f>
        <x:v>n.a.</x:v>
      </x:c>
      <x:c r="E15" s="43" t="str">
        <x:f>IF(COUNT('Income Statement'!E29,'Income Statement'!E31)&lt;2,"n.a.",IF(TRUE,'Income Statement'!E29-'Income Statement'!E31,"n.a."))</x:f>
        <x:v>n.a.</x:v>
      </x:c>
      <x:c r="F15" s="43" t="str">
        <x:f>IF(COUNT('Income Statement'!F29,'Income Statement'!F31)&lt;2,"n.a.",IF(TRUE,'Income Statement'!F29-'Income Statement'!F31,"n.a."))</x:f>
        <x:v>n.a.</x:v>
      </x:c>
      <x:c r="G15" s="43" t="str">
        <x:f>IF(COUNT('Income Statement'!G29,'Income Statement'!G31)&lt;2,"n.a.",IF(TRUE,'Income Statement'!G29-'Income Statement'!G31,"n.a."))</x:f>
        <x:v>n.a.</x:v>
      </x:c>
      <x:c r="H15" s="43" t="str">
        <x:f>IF(COUNT('Income Statement'!H29,'Income Statement'!H31)&lt;2,"n.a.",IF(TRUE,'Income Statement'!H29-'Income Statement'!H31,"n.a."))</x:f>
        <x:v>n.a.</x:v>
      </x:c>
      <x:c r="I15" s="43" t="str">
        <x:f>IF(COUNT('Income Statement'!I29,'Income Statement'!I31)&lt;2,"n.a.",IF(TRUE,'Income Statement'!I29-'Income Statement'!I31,"n.a."))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" t="str">
        <x:v>EBITDA calculated</x:v>
      </x:c>
      <x:c r="D16" s="39" t="str">
        <x:f>IF(COUNT('Income Statement'!D16,'Income Statement'!D17)&lt;2,"n.a.",IF(TRUE,'Income Statement'!D16+'Income Statement'!D17,"n.a."))</x:f>
        <x:v>n.a.</x:v>
      </x:c>
      <x:c r="E16" s="39" t="str">
        <x:f>IF(COUNT('Income Statement'!E16,'Income Statement'!E17)&lt;2,"n.a.",IF(TRUE,'Income Statement'!E16+'Income Statement'!E17,"n.a."))</x:f>
        <x:v>n.a.</x:v>
      </x:c>
      <x:c r="F16" s="39" t="str">
        <x:f>IF(COUNT('Income Statement'!F16,'Income Statement'!F17)&lt;2,"n.a.",IF(TRUE,'Income Statement'!F16+'Income Statement'!F17,"n.a."))</x:f>
        <x:v>n.a.</x:v>
      </x:c>
      <x:c r="G16" s="39" t="str">
        <x:f>IF(COUNT('Income Statement'!G16,'Income Statement'!G17)&lt;2,"n.a.",IF(TRUE,'Income Statement'!G16+'Income Statement'!G17,"n.a."))</x:f>
        <x:v>n.a.</x:v>
      </x:c>
      <x:c r="H16" s="39" t="str">
        <x:f>IF(COUNT('Income Statement'!H16,'Income Statement'!H17)&lt;2,"n.a.",IF(TRUE,'Income Statement'!H16+'Income Statement'!H17,"n.a."))</x:f>
        <x:v>n.a.</x:v>
      </x:c>
      <x:c r="I16" s="39" t="str">
        <x:f>IF(COUNT('Income Statement'!I16,'Income Statement'!I17)&lt;2,"n.a.",IF(TRUE,'Income Statement'!I16+'Income Statement'!I17,"n.a."))</x:f>
        <x:v>n.a.</x:v>
      </x:c>
      <x:c r="J16" s="2"/>
      <x:c r="K16" s="2" t="str">
        <x:v>Unadjusted EBIT plus total D&amp;A. Do not add D&amp;A twice.</x:v>
      </x:c>
      <x:c r="L16" s="2"/>
      <x:c r="M16" s="2"/>
    </x:row>
    <x:row r="17" ht="23" customHeight="1">
      <x:c r="A17" s="1"/>
      <x:c r="B17" s="1"/>
      <x:c r="C17" s="2" t="str">
        <x:v>Operating expenses excluding cost of sales</x:v>
      </x:c>
      <x:c r="D17" s="43" t="str">
        <x:f>IF(COUNT('Income Statement'!D11,'Income Statement'!D12,'Income Statement'!D13,'Income Statement'!D14)&lt;4,"n.a.",IF(TRUE,'Income Statement'!D11+'Income Statement'!D12+'Income Statement'!D13+'Income Statement'!D14,"n.a."))</x:f>
        <x:v>n.a.</x:v>
      </x:c>
      <x:c r="E17" s="43" t="str">
        <x:f>IF(COUNT('Income Statement'!E11,'Income Statement'!E12,'Income Statement'!E13,'Income Statement'!E14)&lt;4,"n.a.",IF(TRUE,'Income Statement'!E11+'Income Statement'!E12+'Income Statement'!E13+'Income Statement'!E14,"n.a."))</x:f>
        <x:v>n.a.</x:v>
      </x:c>
      <x:c r="F17" s="43" t="str">
        <x:f>IF(COUNT('Income Statement'!F11,'Income Statement'!F12,'Income Statement'!F13,'Income Statement'!F14)&lt;4,"n.a.",IF(TRUE,'Income Statement'!F11+'Income Statement'!F12+'Income Statement'!F13+'Income Statement'!F14,"n.a."))</x:f>
        <x:v>n.a.</x:v>
      </x:c>
      <x:c r="G17" s="43" t="str">
        <x:f>IF(COUNT('Income Statement'!G11,'Income Statement'!G12,'Income Statement'!G13,'Income Statement'!G14)&lt;4,"n.a.",IF(TRUE,'Income Statement'!G11+'Income Statement'!G12+'Income Statement'!G13+'Income Statement'!G14,"n.a."))</x:f>
        <x:v>n.a.</x:v>
      </x:c>
      <x:c r="H17" s="43" t="str">
        <x:f>IF(COUNT('Income Statement'!H11,'Income Statement'!H12,'Income Statement'!H13,'Income Statement'!H14)&lt;4,"n.a.",IF(TRUE,'Income Statement'!H11+'Income Statement'!H12+'Income Statement'!H13+'Income Statement'!H14,"n.a."))</x:f>
        <x:v>n.a.</x:v>
      </x:c>
      <x:c r="I17" s="43" t="str">
        <x:f>IF(COUNT('Income Statement'!I11,'Income Statement'!I12,'Income Statement'!I13,'Income Statement'!I14)&lt;4,"n.a.",IF(TRUE,'Income Statement'!I11+'Income Statement'!I12+'Income Statement'!I13+'Income Statement'!I14,"n.a."))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 t="str">
        <x:v>Net operating profit after tax (NOPAT)</x:v>
      </x:c>
      <x:c r="D18" s="39" t="str">
        <x:f>IF(COUNT('Income Statement'!D16,'Market Inputs'!D17)&lt;2,"n.a.",IF(AND('Market Inputs'!D17&gt;=0,'Market Inputs'!D17&lt;=1),'Income Statement'!D16*(1-'Market Inputs'!D17),"n.a."))</x:f>
        <x:v>n.a.</x:v>
      </x:c>
      <x:c r="E18" s="39" t="str">
        <x:f>IF(COUNT('Income Statement'!E16,'Market Inputs'!E17)&lt;2,"n.a.",IF(AND('Market Inputs'!E17&gt;=0,'Market Inputs'!E17&lt;=1),'Income Statement'!E16*(1-'Market Inputs'!E17),"n.a."))</x:f>
        <x:v>n.a.</x:v>
      </x:c>
      <x:c r="F18" s="39" t="str">
        <x:f>IF(COUNT('Income Statement'!F16,'Market Inputs'!F17)&lt;2,"n.a.",IF(AND('Market Inputs'!F17&gt;=0,'Market Inputs'!F17&lt;=1),'Income Statement'!F16*(1-'Market Inputs'!F17),"n.a."))</x:f>
        <x:v>n.a.</x:v>
      </x:c>
      <x:c r="G18" s="39" t="str">
        <x:f>IF(COUNT('Income Statement'!G16,'Market Inputs'!G17)&lt;2,"n.a.",IF(AND('Market Inputs'!G17&gt;=0,'Market Inputs'!G17&lt;=1),'Income Statement'!G16*(1-'Market Inputs'!G17),"n.a."))</x:f>
        <x:v>n.a.</x:v>
      </x:c>
      <x:c r="H18" s="39" t="str">
        <x:f>IF(COUNT('Income Statement'!H16,'Market Inputs'!H17)&lt;2,"n.a.",IF(AND('Market Inputs'!H17&gt;=0,'Market Inputs'!H17&lt;=1),'Income Statement'!H16*(1-'Market Inputs'!H17),"n.a."))</x:f>
        <x:v>n.a.</x:v>
      </x:c>
      <x:c r="I18" s="39" t="str">
        <x:f>IF(COUNT('Income Statement'!I16,'Market Inputs'!I17)&lt;2,"n.a.",IF(AND('Market Inputs'!I17&gt;=0,'Market Inputs'!I17&lt;=1),'Income Statement'!I16*(1-'Market Inputs'!I17),"n.a."))</x:f>
        <x:v>n.a.</x:v>
      </x:c>
      <x:c r="J18" s="2"/>
      <x:c r="K18" s="2" t="str">
        <x:v>Uses the analyst’s normalised operating tax rate.</x:v>
      </x:c>
      <x:c r="L18" s="2"/>
      <x:c r="M18" s="2"/>
    </x:row>
    <x:row r="19" ht="23" customHeight="1">
      <x:c r="A19" s="1"/>
      <x:c r="B19" s="1"/>
      <x:c r="C19" s="2" t="str">
        <x:v>Free cash flow after total capex</x:v>
      </x:c>
      <x:c r="D19" s="43" t="str">
        <x:f>IF(COUNT('Cash Flow Statement'!D18,'Cash Flow Statement'!D20)&lt;2,"n.a.",IF('Cash Flow Statement'!D20&lt;=0,'Cash Flow Statement'!D18+'Cash Flow Statement'!D20,"n.a."))</x:f>
        <x:v>n.a.</x:v>
      </x:c>
      <x:c r="E19" s="43" t="str">
        <x:f>IF(COUNT('Cash Flow Statement'!E18,'Cash Flow Statement'!E20)&lt;2,"n.a.",IF('Cash Flow Statement'!E20&lt;=0,'Cash Flow Statement'!E18+'Cash Flow Statement'!E20,"n.a."))</x:f>
        <x:v>n.a.</x:v>
      </x:c>
      <x:c r="F19" s="43" t="str">
        <x:f>IF(COUNT('Cash Flow Statement'!F18,'Cash Flow Statement'!F20)&lt;2,"n.a.",IF('Cash Flow Statement'!F20&lt;=0,'Cash Flow Statement'!F18+'Cash Flow Statement'!F20,"n.a."))</x:f>
        <x:v>n.a.</x:v>
      </x:c>
      <x:c r="G19" s="43" t="str">
        <x:f>IF(COUNT('Cash Flow Statement'!G18,'Cash Flow Statement'!G20)&lt;2,"n.a.",IF('Cash Flow Statement'!G20&lt;=0,'Cash Flow Statement'!G18+'Cash Flow Statement'!G20,"n.a."))</x:f>
        <x:v>n.a.</x:v>
      </x:c>
      <x:c r="H19" s="43" t="str">
        <x:f>IF(COUNT('Cash Flow Statement'!H18,'Cash Flow Statement'!H20)&lt;2,"n.a.",IF('Cash Flow Statement'!H20&lt;=0,'Cash Flow Statement'!H18+'Cash Flow Statement'!H20,"n.a."))</x:f>
        <x:v>n.a.</x:v>
      </x:c>
      <x:c r="I19" s="43" t="str">
        <x:f>IF(COUNT('Cash Flow Statement'!I18,'Cash Flow Statement'!I20)&lt;2,"n.a.",IF('Cash Flow Statement'!I20&lt;=0,'Cash Flow Statement'!I18+'Cash Flow Statement'!I20,"n.a."))</x:f>
        <x:v>n.a.</x:v>
      </x:c>
      <x:c r="J19" s="2"/>
      <x:c r="K19" s="2" t="str">
        <x:v>CFO + signed capex. Does not deduct all investing cash flows.</x:v>
      </x:c>
      <x:c r="L19" s="2"/>
      <x:c r="M19" s="2"/>
    </x:row>
    <x:row r="20" ht="23" customHeight="1">
      <x:c r="A20" s="1"/>
      <x:c r="B20" s="1"/>
      <x:c r="C20" s="2" t="str">
        <x:v>Total interest paid, positive amount</x:v>
      </x:c>
      <x:c r="D20" s="39" t="str">
        <x:f>IF(COUNT('Cash Flow Statement'!D15,'Cash Flow Statement'!D35)&lt;2,"n.a.",IF(AND('Cash Flow Statement'!D15&lt;=0,'Cash Flow Statement'!D35&lt;=0),-'Cash Flow Statement'!D15-'Cash Flow Statement'!D35,"n.a."))</x:f>
        <x:v>n.a.</x:v>
      </x:c>
      <x:c r="E20" s="39" t="str">
        <x:f>IF(COUNT('Cash Flow Statement'!E15,'Cash Flow Statement'!E35)&lt;2,"n.a.",IF(AND('Cash Flow Statement'!E15&lt;=0,'Cash Flow Statement'!E35&lt;=0),-'Cash Flow Statement'!E15-'Cash Flow Statement'!E35,"n.a."))</x:f>
        <x:v>n.a.</x:v>
      </x:c>
      <x:c r="F20" s="39" t="str">
        <x:f>IF(COUNT('Cash Flow Statement'!F15,'Cash Flow Statement'!F35)&lt;2,"n.a.",IF(AND('Cash Flow Statement'!F15&lt;=0,'Cash Flow Statement'!F35&lt;=0),-'Cash Flow Statement'!F15-'Cash Flow Statement'!F35,"n.a."))</x:f>
        <x:v>n.a.</x:v>
      </x:c>
      <x:c r="G20" s="39" t="str">
        <x:f>IF(COUNT('Cash Flow Statement'!G15,'Cash Flow Statement'!G35)&lt;2,"n.a.",IF(AND('Cash Flow Statement'!G15&lt;=0,'Cash Flow Statement'!G35&lt;=0),-'Cash Flow Statement'!G15-'Cash Flow Statement'!G35,"n.a."))</x:f>
        <x:v>n.a.</x:v>
      </x:c>
      <x:c r="H20" s="39" t="str">
        <x:f>IF(COUNT('Cash Flow Statement'!H15,'Cash Flow Statement'!H35)&lt;2,"n.a.",IF(AND('Cash Flow Statement'!H15&lt;=0,'Cash Flow Statement'!H35&lt;=0),-'Cash Flow Statement'!H15-'Cash Flow Statement'!H35,"n.a."))</x:f>
        <x:v>n.a.</x:v>
      </x:c>
      <x:c r="I20" s="39" t="str">
        <x:f>IF(COUNT('Cash Flow Statement'!I15,'Cash Flow Statement'!I35)&lt;2,"n.a.",IF(AND('Cash Flow Statement'!I15&lt;=0,'Cash Flow Statement'!I35&lt;=0),-'Cash Flow Statement'!I15-'Cash Flow Statement'!I35,"n.a."))</x:f>
        <x:v>n.a.</x:v>
      </x:c>
      <x:c r="J20" s="2"/>
      <x:c r="K20" s="2" t="str">
        <x:v>Both classifications must be entered, including zero.</x:v>
      </x:c>
      <x:c r="L20" s="2"/>
      <x:c r="M20" s="2"/>
    </x:row>
    <x:row r="21" ht="25" customHeight="1">
      <x:c r="A21" s="1"/>
      <x:c r="B21" s="1"/>
      <x:c r="C21" s="34" t="str">
        <x:v>Average of opening and closing balances</x:v>
      </x:c>
      <x:c r="D21" s="34"/>
      <x:c r="E21" s="34"/>
      <x:c r="F21" s="34"/>
      <x:c r="G21" s="34"/>
      <x:c r="H21" s="34"/>
      <x:c r="I21" s="34"/>
      <x:c r="J21" s="2"/>
      <x:c r="K21" s="2"/>
      <x:c r="L21" s="2"/>
      <x:c r="M21" s="2"/>
    </x:row>
    <x:row r="22" ht="23" customHeight="1">
      <x:c r="A22" s="1"/>
      <x:c r="B22" s="1"/>
      <x:c r="C22" s="2" t="str">
        <x:v>Average total assets</x:v>
      </x:c>
      <x:c r="D22" s="39" t="str">
        <x:f>"n.a."</x:f>
        <x:v>n.a.</x:v>
      </x:c>
      <x:c r="E22" s="39" t="str">
        <x:f>IF(COUNT('Balance Sheet'!D29,'Balance Sheet'!E29)&lt;2,"n.a.",IF(TRUE,('Balance Sheet'!D29+'Balance Sheet'!E29)/2,"n.a."))</x:f>
        <x:v>n.a.</x:v>
      </x:c>
      <x:c r="F22" s="39" t="str">
        <x:f>IF(COUNT('Balance Sheet'!E29,'Balance Sheet'!F29)&lt;2,"n.a.",IF(TRUE,('Balance Sheet'!E29+'Balance Sheet'!F29)/2,"n.a."))</x:f>
        <x:v>n.a.</x:v>
      </x:c>
      <x:c r="G22" s="39" t="str">
        <x:f>IF(COUNT('Balance Sheet'!F29,'Balance Sheet'!G29)&lt;2,"n.a.",IF(TRUE,('Balance Sheet'!F29+'Balance Sheet'!G29)/2,"n.a."))</x:f>
        <x:v>n.a.</x:v>
      </x:c>
      <x:c r="H22" s="39" t="str">
        <x:f>IF(COUNT('Balance Sheet'!G29,'Balance Sheet'!H29)&lt;2,"n.a.",IF(TRUE,('Balance Sheet'!G29+'Balance Sheet'!H29)/2,"n.a."))</x:f>
        <x:v>n.a.</x:v>
      </x:c>
      <x:c r="I22" s="39" t="str">
        <x:f>IF(COUNT('Balance Sheet'!H29,'Balance Sheet'!I29)&lt;2,"n.a.",IF(TRUE,('Balance Sheet'!H29+'Balance Sheet'!I29)/2,"n.a."))</x:f>
        <x:v>n.a.</x:v>
      </x:c>
      <x:c r="J22" s="2"/>
      <x:c r="K22" s="2" t="str">
        <x:v>Requires the prior-year balance; no closing-only substitution.</x:v>
      </x:c>
      <x:c r="L22" s="2"/>
      <x:c r="M22" s="2"/>
    </x:row>
    <x:row r="23" ht="23" customHeight="1">
      <x:c r="A23" s="1"/>
      <x:c r="B23" s="1"/>
      <x:c r="C23" s="2" t="str">
        <x:v>Average total group equity</x:v>
      </x:c>
      <x:c r="D23" s="43" t="str">
        <x:f>"n.a."</x:f>
        <x:v>n.a.</x:v>
      </x:c>
      <x:c r="E23" s="43" t="str">
        <x:f>IF(COUNT('Balance Sheet'!D52,'Balance Sheet'!E52)&lt;2,"n.a.",IF(TRUE,('Balance Sheet'!D52+'Balance Sheet'!E52)/2,"n.a."))</x:f>
        <x:v>n.a.</x:v>
      </x:c>
      <x:c r="F23" s="43" t="str">
        <x:f>IF(COUNT('Balance Sheet'!E52,'Balance Sheet'!F52)&lt;2,"n.a.",IF(TRUE,('Balance Sheet'!E52+'Balance Sheet'!F52)/2,"n.a."))</x:f>
        <x:v>n.a.</x:v>
      </x:c>
      <x:c r="G23" s="43" t="str">
        <x:f>IF(COUNT('Balance Sheet'!F52,'Balance Sheet'!G52)&lt;2,"n.a.",IF(TRUE,('Balance Sheet'!F52+'Balance Sheet'!G52)/2,"n.a."))</x:f>
        <x:v>n.a.</x:v>
      </x:c>
      <x:c r="H23" s="43" t="str">
        <x:f>IF(COUNT('Balance Sheet'!G52,'Balance Sheet'!H52)&lt;2,"n.a.",IF(TRUE,('Balance Sheet'!G52+'Balance Sheet'!H52)/2,"n.a."))</x:f>
        <x:v>n.a.</x:v>
      </x:c>
      <x:c r="I23" s="43" t="str">
        <x:f>IF(COUNT('Balance Sheet'!H52,'Balance Sheet'!I52)&lt;2,"n.a.",IF(TRUE,('Balance Sheet'!H52+'Balance Sheet'!I52)/2,"n.a."))</x:f>
        <x:v>n.a.</x:v>
      </x:c>
      <x:c r="J23" s="2"/>
      <x:c r="K23" s="2" t="str">
        <x:v>Requires the prior-year balance; no closing-only substitution.</x:v>
      </x:c>
      <x:c r="L23" s="2"/>
      <x:c r="M23" s="2"/>
    </x:row>
    <x:row r="24" ht="23" customHeight="1">
      <x:c r="A24" s="1"/>
      <x:c r="B24" s="1"/>
      <x:c r="C24" s="2" t="str">
        <x:v>Average common parent equity</x:v>
      </x:c>
      <x:c r="D24" s="39" t="str">
        <x:f>"n.a."</x:f>
        <x:v>n.a.</x:v>
      </x:c>
      <x:c r="E24" s="39" t="str">
        <x:f>IF(COUNT('Capital Calculations'!D14,'Capital Calculations'!E14)&lt;2,"n.a.",IF(TRUE,('Capital Calculations'!D14+'Capital Calculations'!E14)/2,"n.a."))</x:f>
        <x:v>n.a.</x:v>
      </x:c>
      <x:c r="F24" s="39" t="str">
        <x:f>IF(COUNT('Capital Calculations'!E14,'Capital Calculations'!F14)&lt;2,"n.a.",IF(TRUE,('Capital Calculations'!E14+'Capital Calculations'!F14)/2,"n.a."))</x:f>
        <x:v>n.a.</x:v>
      </x:c>
      <x:c r="G24" s="39" t="str">
        <x:f>IF(COUNT('Capital Calculations'!F14,'Capital Calculations'!G14)&lt;2,"n.a.",IF(TRUE,('Capital Calculations'!F14+'Capital Calculations'!G14)/2,"n.a."))</x:f>
        <x:v>n.a.</x:v>
      </x:c>
      <x:c r="H24" s="39" t="str">
        <x:f>IF(COUNT('Capital Calculations'!G14,'Capital Calculations'!H14)&lt;2,"n.a.",IF(TRUE,('Capital Calculations'!G14+'Capital Calculations'!H14)/2,"n.a."))</x:f>
        <x:v>n.a.</x:v>
      </x:c>
      <x:c r="I24" s="39" t="str">
        <x:f>IF(COUNT('Capital Calculations'!H14,'Capital Calculations'!I14)&lt;2,"n.a.",IF(TRUE,('Capital Calculations'!H14+'Capital Calculations'!I14)/2,"n.a."))</x:f>
        <x:v>n.a.</x:v>
      </x:c>
      <x:c r="J24" s="2"/>
      <x:c r="K24" s="2" t="str">
        <x:v>Requires the prior-year balance; no closing-only substitution.</x:v>
      </x:c>
      <x:c r="L24" s="2"/>
      <x:c r="M24" s="2"/>
    </x:row>
    <x:row r="25" ht="23" customHeight="1">
      <x:c r="A25" s="1"/>
      <x:c r="B25" s="1"/>
      <x:c r="C25" s="2" t="str">
        <x:v>Average inventory</x:v>
      </x:c>
      <x:c r="D25" s="43" t="str">
        <x:f>"n.a."</x:f>
        <x:v>n.a.</x:v>
      </x:c>
      <x:c r="E25" s="43" t="str">
        <x:f>IF(COUNT('Balance Sheet'!D11,'Balance Sheet'!E11)&lt;2,"n.a.",IF(TRUE,('Balance Sheet'!D11+'Balance Sheet'!E11)/2,"n.a."))</x:f>
        <x:v>n.a.</x:v>
      </x:c>
      <x:c r="F25" s="43" t="str">
        <x:f>IF(COUNT('Balance Sheet'!E11,'Balance Sheet'!F11)&lt;2,"n.a.",IF(TRUE,('Balance Sheet'!E11+'Balance Sheet'!F11)/2,"n.a."))</x:f>
        <x:v>n.a.</x:v>
      </x:c>
      <x:c r="G25" s="43" t="str">
        <x:f>IF(COUNT('Balance Sheet'!F11,'Balance Sheet'!G11)&lt;2,"n.a.",IF(TRUE,('Balance Sheet'!F11+'Balance Sheet'!G11)/2,"n.a."))</x:f>
        <x:v>n.a.</x:v>
      </x:c>
      <x:c r="H25" s="43" t="str">
        <x:f>IF(COUNT('Balance Sheet'!G11,'Balance Sheet'!H11)&lt;2,"n.a.",IF(TRUE,('Balance Sheet'!G11+'Balance Sheet'!H11)/2,"n.a."))</x:f>
        <x:v>n.a.</x:v>
      </x:c>
      <x:c r="I25" s="43" t="str">
        <x:f>IF(COUNT('Balance Sheet'!H11,'Balance Sheet'!I11)&lt;2,"n.a.",IF(TRUE,('Balance Sheet'!H11+'Balance Sheet'!I11)/2,"n.a."))</x:f>
        <x:v>n.a.</x:v>
      </x:c>
      <x:c r="J25" s="2"/>
      <x:c r="K25" s="2" t="str">
        <x:v>Requires the prior-year balance; no closing-only substitution.</x:v>
      </x:c>
      <x:c r="L25" s="2"/>
      <x:c r="M25" s="2"/>
    </x:row>
    <x:row r="26" ht="23" customHeight="1">
      <x:c r="A26" s="1"/>
      <x:c r="B26" s="1"/>
      <x:c r="C26" s="2" t="str">
        <x:v>Average trade receivables</x:v>
      </x:c>
      <x:c r="D26" s="39" t="str">
        <x:f>"n.a."</x:f>
        <x:v>n.a.</x:v>
      </x:c>
      <x:c r="E26" s="39" t="str">
        <x:f>IF(COUNT('Balance Sheet'!D10,'Balance Sheet'!E10)&lt;2,"n.a.",IF(TRUE,('Balance Sheet'!D10+'Balance Sheet'!E10)/2,"n.a."))</x:f>
        <x:v>n.a.</x:v>
      </x:c>
      <x:c r="F26" s="39" t="str">
        <x:f>IF(COUNT('Balance Sheet'!E10,'Balance Sheet'!F10)&lt;2,"n.a.",IF(TRUE,('Balance Sheet'!E10+'Balance Sheet'!F10)/2,"n.a."))</x:f>
        <x:v>n.a.</x:v>
      </x:c>
      <x:c r="G26" s="39" t="str">
        <x:f>IF(COUNT('Balance Sheet'!F10,'Balance Sheet'!G10)&lt;2,"n.a.",IF(TRUE,('Balance Sheet'!F10+'Balance Sheet'!G10)/2,"n.a."))</x:f>
        <x:v>n.a.</x:v>
      </x:c>
      <x:c r="H26" s="39" t="str">
        <x:f>IF(COUNT('Balance Sheet'!G10,'Balance Sheet'!H10)&lt;2,"n.a.",IF(TRUE,('Balance Sheet'!G10+'Balance Sheet'!H10)/2,"n.a."))</x:f>
        <x:v>n.a.</x:v>
      </x:c>
      <x:c r="I26" s="39" t="str">
        <x:f>IF(COUNT('Balance Sheet'!H10,'Balance Sheet'!I10)&lt;2,"n.a.",IF(TRUE,('Balance Sheet'!H10+'Balance Sheet'!I10)/2,"n.a."))</x:f>
        <x:v>n.a.</x:v>
      </x:c>
      <x:c r="J26" s="2"/>
      <x:c r="K26" s="2" t="str">
        <x:v>Requires the prior-year balance; no closing-only substitution.</x:v>
      </x:c>
      <x:c r="L26" s="2"/>
      <x:c r="M26" s="2"/>
    </x:row>
    <x:row r="27" ht="23" customHeight="1">
      <x:c r="A27" s="1"/>
      <x:c r="B27" s="1"/>
      <x:c r="C27" s="2" t="str">
        <x:v>Average trade payables</x:v>
      </x:c>
      <x:c r="D27" s="43" t="str">
        <x:f>"n.a."</x:f>
        <x:v>n.a.</x:v>
      </x:c>
      <x:c r="E27" s="43" t="str">
        <x:f>IF(COUNT('Balance Sheet'!D31,'Balance Sheet'!E31)&lt;2,"n.a.",IF(TRUE,('Balance Sheet'!D31+'Balance Sheet'!E31)/2,"n.a."))</x:f>
        <x:v>n.a.</x:v>
      </x:c>
      <x:c r="F27" s="43" t="str">
        <x:f>IF(COUNT('Balance Sheet'!E31,'Balance Sheet'!F31)&lt;2,"n.a.",IF(TRUE,('Balance Sheet'!E31+'Balance Sheet'!F31)/2,"n.a."))</x:f>
        <x:v>n.a.</x:v>
      </x:c>
      <x:c r="G27" s="43" t="str">
        <x:f>IF(COUNT('Balance Sheet'!F31,'Balance Sheet'!G31)&lt;2,"n.a.",IF(TRUE,('Balance Sheet'!F31+'Balance Sheet'!G31)/2,"n.a."))</x:f>
        <x:v>n.a.</x:v>
      </x:c>
      <x:c r="H27" s="43" t="str">
        <x:f>IF(COUNT('Balance Sheet'!G31,'Balance Sheet'!H31)&lt;2,"n.a.",IF(TRUE,('Balance Sheet'!G31+'Balance Sheet'!H31)/2,"n.a."))</x:f>
        <x:v>n.a.</x:v>
      </x:c>
      <x:c r="I27" s="43" t="str">
        <x:f>IF(COUNT('Balance Sheet'!H31,'Balance Sheet'!I31)&lt;2,"n.a.",IF(TRUE,('Balance Sheet'!H31+'Balance Sheet'!I31)/2,"n.a."))</x:f>
        <x:v>n.a.</x:v>
      </x:c>
      <x:c r="J27" s="2"/>
      <x:c r="K27" s="2" t="str">
        <x:v>Requires the prior-year balance; no closing-only substitution.</x:v>
      </x:c>
      <x:c r="L27" s="2"/>
      <x:c r="M27" s="2"/>
    </x:row>
    <x:row r="28" ht="23" customHeight="1">
      <x:c r="A28" s="1"/>
      <x:c r="B28" s="1"/>
      <x:c r="C28" s="2" t="str">
        <x:v>Average net PPE</x:v>
      </x:c>
      <x:c r="D28" s="39" t="str">
        <x:f>"n.a."</x:f>
        <x:v>n.a.</x:v>
      </x:c>
      <x:c r="E28" s="39" t="str">
        <x:f>IF(COUNT('Balance Sheet'!D19,'Balance Sheet'!E19)&lt;2,"n.a.",IF(TRUE,('Balance Sheet'!D19+'Balance Sheet'!E19)/2,"n.a."))</x:f>
        <x:v>n.a.</x:v>
      </x:c>
      <x:c r="F28" s="39" t="str">
        <x:f>IF(COUNT('Balance Sheet'!E19,'Balance Sheet'!F19)&lt;2,"n.a.",IF(TRUE,('Balance Sheet'!E19+'Balance Sheet'!F19)/2,"n.a."))</x:f>
        <x:v>n.a.</x:v>
      </x:c>
      <x:c r="G28" s="39" t="str">
        <x:f>IF(COUNT('Balance Sheet'!F19,'Balance Sheet'!G19)&lt;2,"n.a.",IF(TRUE,('Balance Sheet'!F19+'Balance Sheet'!G19)/2,"n.a."))</x:f>
        <x:v>n.a.</x:v>
      </x:c>
      <x:c r="H28" s="39" t="str">
        <x:f>IF(COUNT('Balance Sheet'!G19,'Balance Sheet'!H19)&lt;2,"n.a.",IF(TRUE,('Balance Sheet'!G19+'Balance Sheet'!H19)/2,"n.a."))</x:f>
        <x:v>n.a.</x:v>
      </x:c>
      <x:c r="I28" s="39" t="str">
        <x:f>IF(COUNT('Balance Sheet'!H19,'Balance Sheet'!I19)&lt;2,"n.a.",IF(TRUE,('Balance Sheet'!H19+'Balance Sheet'!I19)/2,"n.a."))</x:f>
        <x:v>n.a.</x:v>
      </x:c>
      <x:c r="J28" s="2"/>
      <x:c r="K28" s="2" t="str">
        <x:v>Requires the prior-year balance; no closing-only substitution.</x:v>
      </x:c>
      <x:c r="L28" s="2"/>
      <x:c r="M28" s="2"/>
    </x:row>
    <x:row r="29" ht="23" customHeight="1">
      <x:c r="A29" s="1"/>
      <x:c r="B29" s="1"/>
      <x:c r="C29" s="2" t="str">
        <x:v>Average working capital</x:v>
      </x:c>
      <x:c r="D29" s="43" t="str">
        <x:f>"n.a."</x:f>
        <x:v>n.a.</x:v>
      </x:c>
      <x:c r="E29" s="43" t="str">
        <x:f>IF(COUNT('Capital Calculations'!D10,'Capital Calculations'!E10)&lt;2,"n.a.",IF(TRUE,('Capital Calculations'!D10+'Capital Calculations'!E10)/2,"n.a."))</x:f>
        <x:v>n.a.</x:v>
      </x:c>
      <x:c r="F29" s="43" t="str">
        <x:f>IF(COUNT('Capital Calculations'!E10,'Capital Calculations'!F10)&lt;2,"n.a.",IF(TRUE,('Capital Calculations'!E10+'Capital Calculations'!F10)/2,"n.a."))</x:f>
        <x:v>n.a.</x:v>
      </x:c>
      <x:c r="G29" s="43" t="str">
        <x:f>IF(COUNT('Capital Calculations'!F10,'Capital Calculations'!G10)&lt;2,"n.a.",IF(TRUE,('Capital Calculations'!F10+'Capital Calculations'!G10)/2,"n.a."))</x:f>
        <x:v>n.a.</x:v>
      </x:c>
      <x:c r="H29" s="43" t="str">
        <x:f>IF(COUNT('Capital Calculations'!G10,'Capital Calculations'!H10)&lt;2,"n.a.",IF(TRUE,('Capital Calculations'!G10+'Capital Calculations'!H10)/2,"n.a."))</x:f>
        <x:v>n.a.</x:v>
      </x:c>
      <x:c r="I29" s="43" t="str">
        <x:f>IF(COUNT('Capital Calculations'!H10,'Capital Calculations'!I10)&lt;2,"n.a.",IF(TRUE,('Capital Calculations'!H10+'Capital Calculations'!I10)/2,"n.a."))</x:f>
        <x:v>n.a.</x:v>
      </x:c>
      <x:c r="J29" s="2"/>
      <x:c r="K29" s="2" t="str">
        <x:v>Requires the prior-year balance; no closing-only substitution.</x:v>
      </x:c>
      <x:c r="L29" s="2"/>
      <x:c r="M29" s="2"/>
    </x:row>
    <x:row r="30" ht="23" customHeight="1">
      <x:c r="A30" s="1"/>
      <x:c r="B30" s="1"/>
      <x:c r="C30" s="2" t="str">
        <x:v>Average invested capital</x:v>
      </x:c>
      <x:c r="D30" s="39" t="str">
        <x:f>"n.a."</x:f>
        <x:v>n.a.</x:v>
      </x:c>
      <x:c r="E30" s="39" t="str">
        <x:f>IF(COUNT('Capital Calculations'!D12,'Capital Calculations'!E12)&lt;2,"n.a.",IF(TRUE,('Capital Calculations'!D12+'Capital Calculations'!E12)/2,"n.a."))</x:f>
        <x:v>n.a.</x:v>
      </x:c>
      <x:c r="F30" s="39" t="str">
        <x:f>IF(COUNT('Capital Calculations'!E12,'Capital Calculations'!F12)&lt;2,"n.a.",IF(TRUE,('Capital Calculations'!E12+'Capital Calculations'!F12)/2,"n.a."))</x:f>
        <x:v>n.a.</x:v>
      </x:c>
      <x:c r="G30" s="39" t="str">
        <x:f>IF(COUNT('Capital Calculations'!F12,'Capital Calculations'!G12)&lt;2,"n.a.",IF(TRUE,('Capital Calculations'!F12+'Capital Calculations'!G12)/2,"n.a."))</x:f>
        <x:v>n.a.</x:v>
      </x:c>
      <x:c r="H30" s="39" t="str">
        <x:f>IF(COUNT('Capital Calculations'!G12,'Capital Calculations'!H12)&lt;2,"n.a.",IF(TRUE,('Capital Calculations'!G12+'Capital Calculations'!H12)/2,"n.a."))</x:f>
        <x:v>n.a.</x:v>
      </x:c>
      <x:c r="I30" s="39" t="str">
        <x:f>IF(COUNT('Capital Calculations'!H12,'Capital Calculations'!I12)&lt;2,"n.a.",IF(TRUE,('Capital Calculations'!H12+'Capital Calculations'!I12)/2,"n.a."))</x:f>
        <x:v>n.a.</x:v>
      </x:c>
      <x:c r="J30" s="2"/>
      <x:c r="K30" s="2" t="str">
        <x:v>Requires the prior-year balance; no closing-only substitution.</x:v>
      </x:c>
      <x:c r="L30" s="2"/>
      <x:c r="M30" s="2"/>
    </x:row>
    <x:row r="31" ht="23" customHeight="1">
      <x:c r="A31" s="1"/>
      <x:c r="B31" s="1"/>
      <x:c r="C31" s="2" t="str">
        <x:v>Average capital employed</x:v>
      </x:c>
      <x:c r="D31" s="43" t="str">
        <x:f>"n.a."</x:f>
        <x:v>n.a.</x:v>
      </x:c>
      <x:c r="E31" s="43" t="str">
        <x:f>IF(COUNT('Capital Calculations'!D13,'Capital Calculations'!E13)&lt;2,"n.a.",IF(TRUE,('Capital Calculations'!D13+'Capital Calculations'!E13)/2,"n.a."))</x:f>
        <x:v>n.a.</x:v>
      </x:c>
      <x:c r="F31" s="43" t="str">
        <x:f>IF(COUNT('Capital Calculations'!E13,'Capital Calculations'!F13)&lt;2,"n.a.",IF(TRUE,('Capital Calculations'!E13+'Capital Calculations'!F13)/2,"n.a."))</x:f>
        <x:v>n.a.</x:v>
      </x:c>
      <x:c r="G31" s="43" t="str">
        <x:f>IF(COUNT('Capital Calculations'!F13,'Capital Calculations'!G13)&lt;2,"n.a.",IF(TRUE,('Capital Calculations'!F13+'Capital Calculations'!G13)/2,"n.a."))</x:f>
        <x:v>n.a.</x:v>
      </x:c>
      <x:c r="H31" s="43" t="str">
        <x:f>IF(COUNT('Capital Calculations'!G13,'Capital Calculations'!H13)&lt;2,"n.a.",IF(TRUE,('Capital Calculations'!G13+'Capital Calculations'!H13)/2,"n.a."))</x:f>
        <x:v>n.a.</x:v>
      </x:c>
      <x:c r="I31" s="43" t="str">
        <x:f>IF(COUNT('Capital Calculations'!H13,'Capital Calculations'!I13)&lt;2,"n.a.",IF(TRUE,('Capital Calculations'!H13+'Capital Calculations'!I13)/2,"n.a."))</x:f>
        <x:v>n.a.</x:v>
      </x:c>
      <x:c r="J31" s="2"/>
      <x:c r="K31" s="2" t="str">
        <x:v>Requires the prior-year balance; no closing-only substitution.</x:v>
      </x:c>
      <x:c r="L31" s="2"/>
      <x:c r="M31" s="2"/>
    </x:row>
    <x:row r="32" ht="23" customHeight="1">
      <x:c r="A32" s="1"/>
      <x:c r="B32" s="1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3" customHeight="1">
      <x:c r="A33" s="1"/>
      <x:c r="B33" s="1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A34" s="1"/>
      <x:c r="B34" s="1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Peer Comparison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Enter comparable company data for the same fiscal period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/>
      <x:c r="E5" s="80" t="str">
        <x:v>Company 1</x:v>
      </x:c>
      <x:c r="F5" s="80" t="str">
        <x:v>Company 2</x:v>
      </x:c>
      <x:c r="G5" s="80" t="str">
        <x:v>Company 3</x:v>
      </x:c>
      <x:c r="H5" s="80" t="str">
        <x:v>Company 4</x:v>
      </x:c>
      <x:c r="I5" s="80" t="str">
        <x:v>Company 5</x:v>
      </x:c>
      <x:c r="J5" s="2"/>
      <x:c r="K5" s="2" t="str">
        <x:v>All peers must use Setup money/share scales and matching currency. Record dates below.</x:v>
      </x:c>
      <x:c r="L5" s="2"/>
      <x:c r="M5" s="2"/>
    </x:row>
    <x:row r="6" ht="23" customHeight="1">
      <x:c r="A6" s="1"/>
      <x:c r="B6" s="1"/>
      <x:c r="C6" s="2" t="str">
        <x:v>Fiscal year / valuation date in notes</x:v>
      </x:c>
      <x:c r="D6" s="13"/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Revenue</x:v>
      </x:c>
      <x:c r="D7" s="48"/>
      <x:c r="E7" s="48"/>
      <x:c r="F7" s="48"/>
      <x:c r="G7" s="48"/>
      <x:c r="H7" s="48"/>
      <x:c r="I7" s="48"/>
      <x:c r="J7" s="2"/>
      <x:c r="K7" s="2"/>
      <x:c r="L7" s="2"/>
      <x:c r="M7" s="2"/>
    </x:row>
    <x:row r="8" ht="23" customHeight="1">
      <x:c r="A8" s="1"/>
      <x:c r="B8" s="1"/>
      <x:c r="C8" s="2" t="str">
        <x:v>Common net profit</x:v>
      </x:c>
      <x:c r="D8" s="48"/>
      <x:c r="E8" s="48"/>
      <x:c r="F8" s="48"/>
      <x:c r="G8" s="48"/>
      <x:c r="H8" s="48"/>
      <x:c r="I8" s="48"/>
      <x:c r="J8" s="2"/>
      <x:c r="K8" s="2"/>
      <x:c r="L8" s="2"/>
      <x:c r="M8" s="2"/>
    </x:row>
    <x:row r="9" ht="23" customHeight="1">
      <x:c r="A9" s="1"/>
      <x:c r="B9" s="1"/>
      <x:c r="C9" s="2" t="str">
        <x:v>EBITDA</x:v>
      </x:c>
      <x:c r="D9" s="48"/>
      <x:c r="E9" s="48"/>
      <x:c r="F9" s="48"/>
      <x:c r="G9" s="48"/>
      <x:c r="H9" s="48"/>
      <x:c r="I9" s="48"/>
      <x:c r="J9" s="2"/>
      <x:c r="K9" s="2"/>
      <x:c r="L9" s="2"/>
      <x:c r="M9" s="2"/>
    </x:row>
    <x:row r="10" ht="23" customHeight="1">
      <x:c r="A10" s="1"/>
      <x:c r="B10" s="1"/>
      <x:c r="C10" s="2" t="str">
        <x:v>Common book equity</x:v>
      </x:c>
      <x:c r="D10" s="48"/>
      <x:c r="E10" s="48"/>
      <x:c r="F10" s="48"/>
      <x:c r="G10" s="48"/>
      <x:c r="H10" s="48"/>
      <x:c r="I10" s="48"/>
      <x:c r="J10" s="2"/>
      <x:c r="K10" s="2"/>
      <x:c r="L10" s="2"/>
      <x:c r="M10" s="2"/>
    </x:row>
    <x:row r="11" ht="23" customHeight="1">
      <x:c r="A11" s="1"/>
      <x:c r="B11" s="1"/>
      <x:c r="C11" s="2" t="str">
        <x:v>Net debt</x:v>
      </x:c>
      <x:c r="D11" s="48"/>
      <x:c r="E11" s="48"/>
      <x:c r="F11" s="48"/>
      <x:c r="G11" s="48"/>
      <x:c r="H11" s="48"/>
      <x:c r="I11" s="48"/>
      <x:c r="J11" s="2"/>
      <x:c r="K11" s="2"/>
      <x:c r="L11" s="2"/>
      <x:c r="M11" s="2"/>
    </x:row>
    <x:row r="12" ht="23" customHeight="1">
      <x:c r="A12" s="1"/>
      <x:c r="B12" s="1"/>
      <x:c r="C12" s="2" t="str">
        <x:v>Preferred equity + NCI value</x:v>
      </x:c>
      <x:c r="D12" s="48"/>
      <x:c r="E12" s="48"/>
      <x:c r="F12" s="48"/>
      <x:c r="G12" s="48"/>
      <x:c r="H12" s="48"/>
      <x:c r="I12" s="48"/>
      <x:c r="J12" s="2"/>
      <x:c r="K12" s="2"/>
      <x:c r="L12" s="2"/>
      <x:c r="M12" s="2"/>
    </x:row>
    <x:row r="13" ht="23" customHeight="1">
      <x:c r="A13" s="1"/>
      <x:c r="B13" s="1"/>
      <x:c r="C13" s="2" t="str">
        <x:v>Closing shares</x:v>
      </x:c>
      <x:c r="D13" s="48"/>
      <x:c r="E13" s="48"/>
      <x:c r="F13" s="48"/>
      <x:c r="G13" s="48"/>
      <x:c r="H13" s="48"/>
      <x:c r="I13" s="48"/>
      <x:c r="J13" s="2"/>
      <x:c r="K13" s="2"/>
      <x:c r="L13" s="2"/>
      <x:c r="M13" s="2"/>
    </x:row>
    <x:row r="14" ht="23" customHeight="1">
      <x:c r="A14" s="1"/>
      <x:c r="B14" s="1"/>
      <x:c r="C14" s="2" t="str">
        <x:v>Share price</x:v>
      </x:c>
      <x:c r="D14" s="50"/>
      <x:c r="E14" s="50"/>
      <x:c r="F14" s="50"/>
      <x:c r="G14" s="50"/>
      <x:c r="H14" s="50"/>
      <x:c r="I14" s="50"/>
      <x:c r="J14" s="2"/>
      <x:c r="K14" s="2"/>
      <x:c r="L14" s="2"/>
      <x:c r="M14" s="2"/>
    </x:row>
    <x:row r="15" ht="23" customHeight="1">
      <x:c r="A15" s="1"/>
      <x:c r="B15" s="1"/>
      <x:c r="C15" s="2" t="str">
        <x:v>Current assets</x:v>
      </x:c>
      <x:c r="D15" s="48"/>
      <x:c r="E15" s="48"/>
      <x:c r="F15" s="48"/>
      <x:c r="G15" s="48"/>
      <x:c r="H15" s="48"/>
      <x:c r="I15" s="48"/>
      <x:c r="J15" s="2"/>
      <x:c r="K15" s="2"/>
      <x:c r="L15" s="2"/>
      <x:c r="M15" s="2"/>
    </x:row>
    <x:row r="16" ht="23" customHeight="1">
      <x:c r="A16" s="1"/>
      <x:c r="B16" s="1"/>
      <x:c r="C16" s="2" t="str">
        <x:v>Current liabilities</x:v>
      </x:c>
      <x:c r="D16" s="48"/>
      <x:c r="E16" s="48"/>
      <x:c r="F16" s="48"/>
      <x:c r="G16" s="48"/>
      <x:c r="H16" s="48"/>
      <x:c r="I16" s="48"/>
      <x:c r="J16" s="2"/>
      <x:c r="K16" s="2"/>
      <x:c r="L16" s="2"/>
      <x:c r="M16" s="2"/>
    </x:row>
    <x:row r="17" ht="23" customHeight="1">
      <x:c r="A17" s="1"/>
      <x:c r="B17" s="1"/>
      <x:c r="C17" s="2" t="str">
        <x:v>Dividend per share</x:v>
      </x:c>
      <x:c r="D17" s="50"/>
      <x:c r="E17" s="50"/>
      <x:c r="F17" s="50"/>
      <x:c r="G17" s="50"/>
      <x:c r="H17" s="50"/>
      <x:c r="I17" s="50"/>
      <x:c r="J17" s="2"/>
      <x:c r="K17" s="2"/>
      <x:c r="L17" s="2"/>
      <x:c r="M17" s="2"/>
    </x:row>
    <x:row r="18" ht="23" customHeight="1">
      <x:c r="A18" s="1"/>
      <x:c r="B18" s="1"/>
      <x:c r="C18" s="2" t="str">
        <x:v>Three-year average reported EPS</x:v>
      </x:c>
      <x:c r="D18" s="50"/>
      <x:c r="E18" s="50"/>
      <x:c r="F18" s="50"/>
      <x:c r="G18" s="50"/>
      <x:c r="H18" s="50"/>
      <x:c r="I18" s="50"/>
      <x:c r="J18" s="2"/>
      <x:c r="K18" s="2"/>
      <x:c r="L18" s="2"/>
      <x:c r="M18" s="2"/>
    </x:row>
    <x:row r="19" ht="23" customHeight="1">
      <x:c r="A19" s="1"/>
      <x:c r="B19" s="1"/>
      <x:c r="C19" s="2" t="str">
        <x:v>Market capitalisation</x:v>
      </x:c>
      <x:c r="D19" s="15"/>
      <x:c r="E19" s="43" t="str">
        <x:f>IF(COUNT('Peer Comparison'!E14,'Peer Comparison'!E13,'Setup'!$E$11,'Setup'!$E$10)&lt;4,"n.a.",IF(AND('Setup'!$E$10&gt;0,'Peer Comparison'!E13&gt;0,'Peer Comparison'!E14&gt;0),'Peer Comparison'!E14*'Peer Comparison'!E13*'Setup'!$E$11/'Setup'!$E$10,"n.a."))</x:f>
        <x:v>n.a.</x:v>
      </x:c>
      <x:c r="F19" s="43" t="str">
        <x:f>IF(COUNT('Peer Comparison'!F14,'Peer Comparison'!F13,'Setup'!$E$11,'Setup'!$E$10)&lt;4,"n.a.",IF(AND('Setup'!$E$10&gt;0,'Peer Comparison'!F13&gt;0,'Peer Comparison'!F14&gt;0),'Peer Comparison'!F14*'Peer Comparison'!F13*'Setup'!$E$11/'Setup'!$E$10,"n.a."))</x:f>
        <x:v>n.a.</x:v>
      </x:c>
      <x:c r="G19" s="43" t="str">
        <x:f>IF(COUNT('Peer Comparison'!G14,'Peer Comparison'!G13,'Setup'!$E$11,'Setup'!$E$10)&lt;4,"n.a.",IF(AND('Setup'!$E$10&gt;0,'Peer Comparison'!G13&gt;0,'Peer Comparison'!G14&gt;0),'Peer Comparison'!G14*'Peer Comparison'!G13*'Setup'!$E$11/'Setup'!$E$10,"n.a."))</x:f>
        <x:v>n.a.</x:v>
      </x:c>
      <x:c r="H19" s="43" t="str">
        <x:f>IF(COUNT('Peer Comparison'!H14,'Peer Comparison'!H13,'Setup'!$E$11,'Setup'!$E$10)&lt;4,"n.a.",IF(AND('Setup'!$E$10&gt;0,'Peer Comparison'!H13&gt;0,'Peer Comparison'!H14&gt;0),'Peer Comparison'!H14*'Peer Comparison'!H13*'Setup'!$E$11/'Setup'!$E$10,"n.a."))</x:f>
        <x:v>n.a.</x:v>
      </x:c>
      <x:c r="I19" s="43" t="str">
        <x:f>IF(COUNT('Peer Comparison'!I14,'Peer Comparison'!I13,'Setup'!$E$11,'Setup'!$E$10)&lt;4,"n.a.",IF(AND('Setup'!$E$10&gt;0,'Peer Comparison'!I13&gt;0,'Peer Comparison'!I14&gt;0),'Peer Comparison'!I14*'Peer Comparison'!I13*'Setup'!$E$11/'Setup'!$E$10,"n.a."))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" t="str">
        <x:v>Enterprise value</x:v>
      </x:c>
      <x:c r="D20" s="15"/>
      <x:c r="E20" s="39" t="str">
        <x:f>IF(COUNT('Peer Comparison'!E19,'Peer Comparison'!E11,'Peer Comparison'!E12)&lt;3,"n.a.",IF(TRUE,'Peer Comparison'!E19+'Peer Comparison'!E11+'Peer Comparison'!E12,"n.a."))</x:f>
        <x:v>n.a.</x:v>
      </x:c>
      <x:c r="F20" s="39" t="str">
        <x:f>IF(COUNT('Peer Comparison'!F19,'Peer Comparison'!F11,'Peer Comparison'!F12)&lt;3,"n.a.",IF(TRUE,'Peer Comparison'!F19+'Peer Comparison'!F11+'Peer Comparison'!F12,"n.a."))</x:f>
        <x:v>n.a.</x:v>
      </x:c>
      <x:c r="G20" s="39" t="str">
        <x:f>IF(COUNT('Peer Comparison'!G19,'Peer Comparison'!G11,'Peer Comparison'!G12)&lt;3,"n.a.",IF(TRUE,'Peer Comparison'!G19+'Peer Comparison'!G11+'Peer Comparison'!G12,"n.a."))</x:f>
        <x:v>n.a.</x:v>
      </x:c>
      <x:c r="H20" s="39" t="str">
        <x:f>IF(COUNT('Peer Comparison'!H19,'Peer Comparison'!H11,'Peer Comparison'!H12)&lt;3,"n.a.",IF(TRUE,'Peer Comparison'!H19+'Peer Comparison'!H11+'Peer Comparison'!H12,"n.a."))</x:f>
        <x:v>n.a.</x:v>
      </x:c>
      <x:c r="I20" s="39" t="str">
        <x:f>IF(COUNT('Peer Comparison'!I19,'Peer Comparison'!I11,'Peer Comparison'!I12)&lt;3,"n.a.",IF(TRUE,'Peer Comparison'!I19+'Peer Comparison'!I11+'Peer Comparison'!I12,"n.a."))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Market cap / common net profit</x:v>
      </x:c>
      <x:c r="D21" s="26"/>
      <x:c r="E21" s="41" t="str">
        <x:f>IF(COUNT('Peer Comparison'!E19,'Peer Comparison'!E8)&lt;2,"n.a.",IF(('Peer Comparison'!E8)&gt;0,('Peer Comparison'!E19)/('Peer Comparison'!E8),"n.a."))</x:f>
        <x:v>n.a.</x:v>
      </x:c>
      <x:c r="F21" s="41" t="str">
        <x:f>IF(COUNT('Peer Comparison'!F19,'Peer Comparison'!F8)&lt;2,"n.a.",IF(('Peer Comparison'!F8)&gt;0,('Peer Comparison'!F19)/('Peer Comparison'!F8),"n.a."))</x:f>
        <x:v>n.a.</x:v>
      </x:c>
      <x:c r="G21" s="41" t="str">
        <x:f>IF(COUNT('Peer Comparison'!G19,'Peer Comparison'!G8)&lt;2,"n.a.",IF(('Peer Comparison'!G8)&gt;0,('Peer Comparison'!G19)/('Peer Comparison'!G8),"n.a."))</x:f>
        <x:v>n.a.</x:v>
      </x:c>
      <x:c r="H21" s="41" t="str">
        <x:f>IF(COUNT('Peer Comparison'!H19,'Peer Comparison'!H8)&lt;2,"n.a.",IF(('Peer Comparison'!H8)&gt;0,('Peer Comparison'!H19)/('Peer Comparison'!H8),"n.a."))</x:f>
        <x:v>n.a.</x:v>
      </x:c>
      <x:c r="I21" s="41" t="str">
        <x:f>IF(COUNT('Peer Comparison'!I19,'Peer Comparison'!I8)&lt;2,"n.a.",IF(('Peer Comparison'!I8)&gt;0,('Peer Comparison'!I19)/('Peer Comparison'!I8),"n.a."))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Price / book value</x:v>
      </x:c>
      <x:c r="D22" s="26"/>
      <x:c r="E22" s="42" t="str">
        <x:f>IF(COUNT('Peer Comparison'!E19,'Peer Comparison'!E10)&lt;2,"n.a.",IF(('Peer Comparison'!E10)&gt;0,('Peer Comparison'!E19)/('Peer Comparison'!E10),"n.a."))</x:f>
        <x:v>n.a.</x:v>
      </x:c>
      <x:c r="F22" s="42" t="str">
        <x:f>IF(COUNT('Peer Comparison'!F19,'Peer Comparison'!F10)&lt;2,"n.a.",IF(('Peer Comparison'!F10)&gt;0,('Peer Comparison'!F19)/('Peer Comparison'!F10),"n.a."))</x:f>
        <x:v>n.a.</x:v>
      </x:c>
      <x:c r="G22" s="42" t="str">
        <x:f>IF(COUNT('Peer Comparison'!G19,'Peer Comparison'!G10)&lt;2,"n.a.",IF(('Peer Comparison'!G10)&gt;0,('Peer Comparison'!G19)/('Peer Comparison'!G10),"n.a."))</x:f>
        <x:v>n.a.</x:v>
      </x:c>
      <x:c r="H22" s="42" t="str">
        <x:f>IF(COUNT('Peer Comparison'!H19,'Peer Comparison'!H10)&lt;2,"n.a.",IF(('Peer Comparison'!H10)&gt;0,('Peer Comparison'!H19)/('Peer Comparison'!H10),"n.a."))</x:f>
        <x:v>n.a.</x:v>
      </x:c>
      <x:c r="I22" s="42" t="str">
        <x:f>IF(COUNT('Peer Comparison'!I19,'Peer Comparison'!I10)&lt;2,"n.a.",IF(('Peer Comparison'!I10)&gt;0,('Peer Comparison'!I19)/('Peer Comparison'!I10),"n.a."))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EV / EBITDA</x:v>
      </x:c>
      <x:c r="D23" s="26"/>
      <x:c r="E23" s="41" t="str">
        <x:f>IF(COUNT('Peer Comparison'!E20,'Peer Comparison'!E9)&lt;2,"n.a.",IF(('Peer Comparison'!E9)&gt;0,('Peer Comparison'!E20)/('Peer Comparison'!E9),"n.a."))</x:f>
        <x:v>n.a.</x:v>
      </x:c>
      <x:c r="F23" s="41" t="str">
        <x:f>IF(COUNT('Peer Comparison'!F20,'Peer Comparison'!F9)&lt;2,"n.a.",IF(('Peer Comparison'!F9)&gt;0,('Peer Comparison'!F20)/('Peer Comparison'!F9),"n.a."))</x:f>
        <x:v>n.a.</x:v>
      </x:c>
      <x:c r="G23" s="41" t="str">
        <x:f>IF(COUNT('Peer Comparison'!G20,'Peer Comparison'!G9)&lt;2,"n.a.",IF(('Peer Comparison'!G9)&gt;0,('Peer Comparison'!G20)/('Peer Comparison'!G9),"n.a."))</x:f>
        <x:v>n.a.</x:v>
      </x:c>
      <x:c r="H23" s="41" t="str">
        <x:f>IF(COUNT('Peer Comparison'!H20,'Peer Comparison'!H9)&lt;2,"n.a.",IF(('Peer Comparison'!H9)&gt;0,('Peer Comparison'!H20)/('Peer Comparison'!H9),"n.a."))</x:f>
        <x:v>n.a.</x:v>
      </x:c>
      <x:c r="I23" s="41" t="str">
        <x:f>IF(COUNT('Peer Comparison'!I20,'Peer Comparison'!I9)&lt;2,"n.a.",IF(('Peer Comparison'!I9)&gt;0,('Peer Comparison'!I20)/('Peer Comparison'!I9),"n.a."))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0" t="str">
        <x:v>Market cap / revenue</x:v>
      </x:c>
      <x:c r="D24" s="26"/>
      <x:c r="E24" s="42" t="str">
        <x:f>IF(COUNT('Peer Comparison'!E19,'Peer Comparison'!E7)&lt;2,"n.a.",IF(('Peer Comparison'!E7)&gt;0,('Peer Comparison'!E19)/('Peer Comparison'!E7),"n.a."))</x:f>
        <x:v>n.a.</x:v>
      </x:c>
      <x:c r="F24" s="42" t="str">
        <x:f>IF(COUNT('Peer Comparison'!F19,'Peer Comparison'!F7)&lt;2,"n.a.",IF(('Peer Comparison'!F7)&gt;0,('Peer Comparison'!F19)/('Peer Comparison'!F7),"n.a."))</x:f>
        <x:v>n.a.</x:v>
      </x:c>
      <x:c r="G24" s="42" t="str">
        <x:f>IF(COUNT('Peer Comparison'!G19,'Peer Comparison'!G7)&lt;2,"n.a.",IF(('Peer Comparison'!G7)&gt;0,('Peer Comparison'!G19)/('Peer Comparison'!G7),"n.a."))</x:f>
        <x:v>n.a.</x:v>
      </x:c>
      <x:c r="H24" s="42" t="str">
        <x:f>IF(COUNT('Peer Comparison'!H19,'Peer Comparison'!H7)&lt;2,"n.a.",IF(('Peer Comparison'!H7)&gt;0,('Peer Comparison'!H19)/('Peer Comparison'!H7),"n.a."))</x:f>
        <x:v>n.a.</x:v>
      </x:c>
      <x:c r="I24" s="42" t="str">
        <x:f>IF(COUNT('Peer Comparison'!I19,'Peer Comparison'!I7)&lt;2,"n.a.",IF(('Peer Comparison'!I7)&gt;0,('Peer Comparison'!I19)/('Peer Comparison'!I7),"n.a."))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20" t="str">
        <x:v>Common profit / revenue</x:v>
      </x:c>
      <x:c r="D25" s="21"/>
      <x:c r="E25" s="37" t="str">
        <x:f>IF(COUNT('Peer Comparison'!E8,'Peer Comparison'!E7)&lt;2,"n.a.",IF(('Peer Comparison'!E7)&gt;0,('Peer Comparison'!E8)/('Peer Comparison'!E7),"n.a."))</x:f>
        <x:v>n.a.</x:v>
      </x:c>
      <x:c r="F25" s="37" t="str">
        <x:f>IF(COUNT('Peer Comparison'!F8,'Peer Comparison'!F7)&lt;2,"n.a.",IF(('Peer Comparison'!F7)&gt;0,('Peer Comparison'!F8)/('Peer Comparison'!F7),"n.a."))</x:f>
        <x:v>n.a.</x:v>
      </x:c>
      <x:c r="G25" s="37" t="str">
        <x:f>IF(COUNT('Peer Comparison'!G8,'Peer Comparison'!G7)&lt;2,"n.a.",IF(('Peer Comparison'!G7)&gt;0,('Peer Comparison'!G8)/('Peer Comparison'!G7),"n.a."))</x:f>
        <x:v>n.a.</x:v>
      </x:c>
      <x:c r="H25" s="37" t="str">
        <x:f>IF(COUNT('Peer Comparison'!H8,'Peer Comparison'!H7)&lt;2,"n.a.",IF(('Peer Comparison'!H7)&gt;0,('Peer Comparison'!H8)/('Peer Comparison'!H7),"n.a."))</x:f>
        <x:v>n.a.</x:v>
      </x:c>
      <x:c r="I25" s="37" t="str">
        <x:f>IF(COUNT('Peer Comparison'!I8,'Peer Comparison'!I7)&lt;2,"n.a.",IF(('Peer Comparison'!I7)&gt;0,('Peer Comparison'!I8)/('Peer Comparison'!I7),"n.a."))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20" t="str">
        <x:v>Current ratio</x:v>
      </x:c>
      <x:c r="D26" s="26"/>
      <x:c r="E26" s="42" t="str">
        <x:f>IF(COUNT('Peer Comparison'!E15,'Peer Comparison'!E16)&lt;2,"n.a.",IF(('Peer Comparison'!E16)&gt;0,('Peer Comparison'!E15)/('Peer Comparison'!E16),"n.a."))</x:f>
        <x:v>n.a.</x:v>
      </x:c>
      <x:c r="F26" s="42" t="str">
        <x:f>IF(COUNT('Peer Comparison'!F15,'Peer Comparison'!F16)&lt;2,"n.a.",IF(('Peer Comparison'!F16)&gt;0,('Peer Comparison'!F15)/('Peer Comparison'!F16),"n.a."))</x:f>
        <x:v>n.a.</x:v>
      </x:c>
      <x:c r="G26" s="42" t="str">
        <x:f>IF(COUNT('Peer Comparison'!G15,'Peer Comparison'!G16)&lt;2,"n.a.",IF(('Peer Comparison'!G16)&gt;0,('Peer Comparison'!G15)/('Peer Comparison'!G16),"n.a."))</x:f>
        <x:v>n.a.</x:v>
      </x:c>
      <x:c r="H26" s="42" t="str">
        <x:f>IF(COUNT('Peer Comparison'!H15,'Peer Comparison'!H16)&lt;2,"n.a.",IF(('Peer Comparison'!H16)&gt;0,('Peer Comparison'!H15)/('Peer Comparison'!H16),"n.a."))</x:f>
        <x:v>n.a.</x:v>
      </x:c>
      <x:c r="I26" s="42" t="str">
        <x:f>IF(COUNT('Peer Comparison'!I15,'Peer Comparison'!I16)&lt;2,"n.a.",IF(('Peer Comparison'!I16)&gt;0,('Peer Comparison'!I15)/('Peer Comparison'!I16),"n.a."))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20" t="str">
        <x:v>Dividend yield</x:v>
      </x:c>
      <x:c r="D27" s="21"/>
      <x:c r="E27" s="37" t="str">
        <x:f>IF(COUNT('Peer Comparison'!E17,'Peer Comparison'!E14)&lt;2,"n.a.",IF(('Peer Comparison'!E14)&gt;0,('Peer Comparison'!E17)/('Peer Comparison'!E14),"n.a."))</x:f>
        <x:v>n.a.</x:v>
      </x:c>
      <x:c r="F27" s="37" t="str">
        <x:f>IF(COUNT('Peer Comparison'!F17,'Peer Comparison'!F14)&lt;2,"n.a.",IF(('Peer Comparison'!F14)&gt;0,('Peer Comparison'!F17)/('Peer Comparison'!F14),"n.a."))</x:f>
        <x:v>n.a.</x:v>
      </x:c>
      <x:c r="G27" s="37" t="str">
        <x:f>IF(COUNT('Peer Comparison'!G17,'Peer Comparison'!G14)&lt;2,"n.a.",IF(('Peer Comparison'!G14)&gt;0,('Peer Comparison'!G17)/('Peer Comparison'!G14),"n.a."))</x:f>
        <x:v>n.a.</x:v>
      </x:c>
      <x:c r="H27" s="37" t="str">
        <x:f>IF(COUNT('Peer Comparison'!H17,'Peer Comparison'!H14)&lt;2,"n.a.",IF(('Peer Comparison'!H14)&gt;0,('Peer Comparison'!H17)/('Peer Comparison'!H14),"n.a."))</x:f>
        <x:v>n.a.</x:v>
      </x:c>
      <x:c r="I27" s="37" t="str">
        <x:f>IF(COUNT('Peer Comparison'!I17,'Peer Comparison'!I14)&lt;2,"n.a.",IF(('Peer Comparison'!I14)&gt;0,('Peer Comparison'!I17)/('Peer Comparison'!I14),"n.a."))</x:f>
        <x:v>n.a.</x:v>
      </x:c>
      <x:c r="J27" s="2"/>
      <x:c r="K27" s="2"/>
      <x:c r="L27" s="2"/>
      <x:c r="M27" s="2"/>
    </x:row>
    <x:row r="28" ht="23" customHeight="1">
      <x:c r="A28" s="1"/>
      <x:c r="B28" s="1"/>
      <x:c r="C28" s="20" t="str">
        <x:v>Price / three-year average EPS</x:v>
      </x:c>
      <x:c r="D28" s="26"/>
      <x:c r="E28" s="42" t="str">
        <x:f>IF(COUNT('Peer Comparison'!E14,'Peer Comparison'!E18)&lt;2,"n.a.",IF(('Peer Comparison'!E18)&gt;0,('Peer Comparison'!E14)/('Peer Comparison'!E18),"n.a."))</x:f>
        <x:v>n.a.</x:v>
      </x:c>
      <x:c r="F28" s="42" t="str">
        <x:f>IF(COUNT('Peer Comparison'!F14,'Peer Comparison'!F18)&lt;2,"n.a.",IF(('Peer Comparison'!F18)&gt;0,('Peer Comparison'!F14)/('Peer Comparison'!F18),"n.a."))</x:f>
        <x:v>n.a.</x:v>
      </x:c>
      <x:c r="G28" s="42" t="str">
        <x:f>IF(COUNT('Peer Comparison'!G14,'Peer Comparison'!G18)&lt;2,"n.a.",IF(('Peer Comparison'!G18)&gt;0,('Peer Comparison'!G14)/('Peer Comparison'!G18),"n.a."))</x:f>
        <x:v>n.a.</x:v>
      </x:c>
      <x:c r="H28" s="42" t="str">
        <x:f>IF(COUNT('Peer Comparison'!H14,'Peer Comparison'!H18)&lt;2,"n.a.",IF(('Peer Comparison'!H18)&gt;0,('Peer Comparison'!H14)/('Peer Comparison'!H18),"n.a."))</x:f>
        <x:v>n.a.</x:v>
      </x:c>
      <x:c r="I28" s="42" t="str">
        <x:f>IF(COUNT('Peer Comparison'!I14,'Peer Comparison'!I18)&lt;2,"n.a.",IF(('Peer Comparison'!I18)&gt;0,('Peer Comparison'!I14)/('Peer Comparison'!I18),"n.a."))</x:f>
        <x:v>n.a.</x:v>
      </x:c>
      <x:c r="J28" s="2"/>
      <x:c r="K28" s="2"/>
      <x:c r="L28" s="2"/>
      <x:c r="M28" s="2"/>
    </x:row>
    <x:row r="29" ht="23" customHeight="1">
      <x:c r="A29" s="1"/>
      <x:c r="B29" s="1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3" customHeight="1">
      <x:c r="A30" s="1"/>
      <x:c r="B30" s="1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3" customHeight="1">
      <x:c r="A31" s="1"/>
      <x:c r="B31" s="1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C32" t="str">
        <x:v>Fiscal year</x:v>
      </x:c>
      <x:c r="E32" s="63"/>
      <x:c r="F32" s="63"/>
      <x:c r="G32" s="63"/>
      <x:c r="H32" s="63"/>
      <x:c r="I32" s="63"/>
    </x:row>
    <x:row r="33">
      <x:c r="C33" t="str">
        <x:v>Valuation date</x:v>
      </x:c>
      <x:c r="E33" s="63"/>
      <x:c r="F33" s="63"/>
      <x:c r="G33" s="63"/>
      <x:c r="H33" s="63"/>
      <x:c r="I33" s="63"/>
    </x:row>
    <x:row r="34">
      <x:c r="C34" t="str">
        <x:v>Source and page</x:v>
      </x:c>
      <x:c r="E34" s="63"/>
      <x:c r="F34" s="63"/>
      <x:c r="G34" s="63"/>
      <x:c r="H34" s="63"/>
      <x:c r="I34" s="6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Investment Returns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Separate personal investment returns from company profitability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Personal investment inputs, one holding period per column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" t="str">
        <x:v>Initial purchase cost</x:v>
      </x:c>
      <x:c r="D8" s="48"/>
      <x:c r="E8" s="48"/>
      <x:c r="F8" s="48"/>
      <x:c r="G8" s="48"/>
      <x:c r="H8" s="48"/>
      <x:c r="I8" s="48"/>
      <x:c r="J8" s="2"/>
      <x:c r="K8" s="2"/>
      <x:c r="L8" s="2"/>
      <x:c r="M8" s="2"/>
    </x:row>
    <x:row r="9" ht="23" customHeight="1">
      <x:c r="A9" s="1"/>
      <x:c r="B9" s="1"/>
      <x:c r="C9" s="2" t="str">
        <x:v>Ending market value or sale proceeds</x:v>
      </x:c>
      <x:c r="D9" s="48"/>
      <x:c r="E9" s="48"/>
      <x:c r="F9" s="48"/>
      <x:c r="G9" s="48"/>
      <x:c r="H9" s="48"/>
      <x:c r="I9" s="48"/>
      <x:c r="J9" s="2"/>
      <x:c r="K9" s="2"/>
      <x:c r="L9" s="2"/>
      <x:c r="M9" s="2"/>
    </x:row>
    <x:row r="10" ht="23" customHeight="1">
      <x:c r="A10" s="1"/>
      <x:c r="B10" s="1"/>
      <x:c r="C10" s="2" t="str">
        <x:v>Cash dividends and other distributions received</x:v>
      </x:c>
      <x:c r="D10" s="48"/>
      <x:c r="E10" s="48"/>
      <x:c r="F10" s="48"/>
      <x:c r="G10" s="48"/>
      <x:c r="H10" s="48"/>
      <x:c r="I10" s="48"/>
      <x:c r="J10" s="2"/>
      <x:c r="K10" s="2"/>
      <x:c r="L10" s="2"/>
      <x:c r="M10" s="2"/>
    </x:row>
    <x:row r="11" ht="23" customHeight="1">
      <x:c r="A11" s="1"/>
      <x:c r="B11" s="1"/>
      <x:c r="C11" s="2" t="str">
        <x:v>Transaction fees and taxes paid</x:v>
      </x:c>
      <x:c r="D11" s="48"/>
      <x:c r="E11" s="48"/>
      <x:c r="F11" s="48"/>
      <x:c r="G11" s="48"/>
      <x:c r="H11" s="48"/>
      <x:c r="I11" s="48"/>
      <x:c r="J11" s="2"/>
      <x:c r="K11" s="2"/>
      <x:c r="L11" s="2"/>
      <x:c r="M11" s="2"/>
    </x:row>
    <x:row r="12" ht="23" customHeight="1">
      <x:c r="A12" s="1"/>
      <x:c r="B12" s="1"/>
      <x:c r="C12" s="2" t="str">
        <x:v>Holding period in years</x:v>
      </x:c>
      <x:c r="D12" s="54"/>
      <x:c r="E12" s="54"/>
      <x:c r="F12" s="54"/>
      <x:c r="G12" s="54"/>
      <x:c r="H12" s="54"/>
      <x:c r="I12" s="54"/>
      <x:c r="J12" s="2"/>
      <x:c r="K12" s="2"/>
      <x:c r="L12" s="2"/>
      <x:c r="M12" s="2"/>
    </x:row>
    <x:row r="13" ht="23" customHeight="1">
      <x:c r="A13" s="1"/>
      <x:c r="B13" s="1"/>
      <x:c r="C13" s="20" t="str">
        <x:v>Holding-period ROI including distributions</x:v>
      </x:c>
      <x:c r="D13" s="21"/>
      <x:c r="E13" s="37" t="str">
        <x:f>IF(COUNT('Investment Returns'!E9,'Investment Returns'!E10,'Investment Returns'!E8,'Investment Returns'!E11)&lt;4,"n.a.",IF(('Investment Returns'!E8)&gt;0,('Investment Returns'!E9+'Investment Returns'!E10-'Investment Returns'!E8-'Investment Returns'!E11)/('Investment Returns'!E8),"n.a."))</x:f>
        <x:v>n.a.</x:v>
      </x:c>
      <x:c r="F13" s="37" t="str">
        <x:f>IF(COUNT('Investment Returns'!F9,'Investment Returns'!F10,'Investment Returns'!F8,'Investment Returns'!F11)&lt;4,"n.a.",IF(('Investment Returns'!F8)&gt;0,('Investment Returns'!F9+'Investment Returns'!F10-'Investment Returns'!F8-'Investment Returns'!F11)/('Investment Returns'!F8),"n.a."))</x:f>
        <x:v>n.a.</x:v>
      </x:c>
      <x:c r="G13" s="37" t="str">
        <x:f>IF(COUNT('Investment Returns'!G9,'Investment Returns'!G10,'Investment Returns'!G8,'Investment Returns'!G11)&lt;4,"n.a.",IF(('Investment Returns'!G8)&gt;0,('Investment Returns'!G9+'Investment Returns'!G10-'Investment Returns'!G8-'Investment Returns'!G11)/('Investment Returns'!G8),"n.a."))</x:f>
        <x:v>n.a.</x:v>
      </x:c>
      <x:c r="H13" s="37" t="str">
        <x:f>IF(COUNT('Investment Returns'!H9,'Investment Returns'!H10,'Investment Returns'!H8,'Investment Returns'!H11)&lt;4,"n.a.",IF(('Investment Returns'!H8)&gt;0,('Investment Returns'!H9+'Investment Returns'!H10-'Investment Returns'!H8-'Investment Returns'!H11)/('Investment Returns'!H8),"n.a."))</x:f>
        <x:v>n.a.</x:v>
      </x:c>
      <x:c r="I13" s="37" t="str">
        <x:f>IF(COUNT('Investment Returns'!I9,'Investment Returns'!I10,'Investment Returns'!I8,'Investment Returns'!I11)&lt;4,"n.a.",IF(('Investment Returns'!I8)&gt;0,('Investment Returns'!I9+'Investment Returns'!I10-'Investment Returns'!I8-'Investment Returns'!I11)/('Investment Returns'!I8),"n.a."))</x:f>
        <x:v>n.a.</x:v>
      </x:c>
      <x:c r="J13" s="2"/>
      <x:c r="K13" s="2" t="str">
        <x:v>No intermediate purchases or sales. Money-weighted return needs dated flows.</x:v>
      </x:c>
      <x:c r="L13" s="2"/>
      <x:c r="M13" s="2"/>
    </x:row>
    <x:row r="14" ht="23" customHeight="1">
      <x:c r="A14" s="1"/>
      <x:c r="B14" s="1"/>
      <x:c r="C14" s="20" t="str">
        <x:v>Annualised holding-period return</x:v>
      </x:c>
      <x:c r="D14" s="21"/>
      <x:c r="E14" s="36" t="str">
        <x:f>IF(COUNT('Investment Returns'!E13,'Investment Returns'!E12)&lt;2,"n.a.",IF(AND('Investment Returns'!E12&gt;0,1+'Investment Returns'!E13&gt;0),(1+'Investment Returns'!E13)^(1/'Investment Returns'!E12)-1,"n.a."))</x:f>
        <x:v>n.a.</x:v>
      </x:c>
      <x:c r="F14" s="36" t="str">
        <x:f>IF(COUNT('Investment Returns'!F13,'Investment Returns'!F12)&lt;2,"n.a.",IF(AND('Investment Returns'!F12&gt;0,1+'Investment Returns'!F13&gt;0),(1+'Investment Returns'!F13)^(1/'Investment Returns'!F12)-1,"n.a."))</x:f>
        <x:v>n.a.</x:v>
      </x:c>
      <x:c r="G14" s="36" t="str">
        <x:f>IF(COUNT('Investment Returns'!G13,'Investment Returns'!G12)&lt;2,"n.a.",IF(AND('Investment Returns'!G12&gt;0,1+'Investment Returns'!G13&gt;0),(1+'Investment Returns'!G13)^(1/'Investment Returns'!G12)-1,"n.a."))</x:f>
        <x:v>n.a.</x:v>
      </x:c>
      <x:c r="H14" s="36" t="str">
        <x:f>IF(COUNT('Investment Returns'!H13,'Investment Returns'!H12)&lt;2,"n.a.",IF(AND('Investment Returns'!H12&gt;0,1+'Investment Returns'!H13&gt;0),(1+'Investment Returns'!H13)^(1/'Investment Returns'!H12)-1,"n.a."))</x:f>
        <x:v>n.a.</x:v>
      </x:c>
      <x:c r="I14" s="36" t="str">
        <x:f>IF(COUNT('Investment Returns'!I13,'Investment Returns'!I12)&lt;2,"n.a.",IF(AND('Investment Returns'!I12&gt;0,1+'Investment Returns'!I13&gt;0),(1+'Investment Returns'!I13)^(1/'Investment Returns'!I12)-1,"n.a."))</x:f>
        <x:v>n.a.</x:v>
      </x:c>
      <x:c r="J14" s="2"/>
      <x:c r="K14" s="2" t="str">
        <x:v>Distributions assumed received at the end for this approximation.</x:v>
      </x:c>
      <x:c r="L14" s="2"/>
      <x:c r="M14" s="2"/>
    </x:row>
    <x:row r="15" ht="25" customHeight="1">
      <x:c r="A15" s="1"/>
      <x:c r="B15" s="1"/>
      <x:c r="C15" s="34" t="str">
        <x:v>Market history from Market Inputs</x:v>
      </x:c>
      <x:c r="D15" s="34"/>
      <x:c r="E15" s="34"/>
      <x:c r="F15" s="34"/>
      <x:c r="G15" s="34"/>
      <x:c r="H15" s="34"/>
      <x:c r="I15" s="34"/>
      <x:c r="J15" s="2"/>
      <x:c r="K15" s="2"/>
      <x:c r="L15" s="2"/>
      <x:c r="M15" s="2"/>
    </x:row>
    <x:row r="16" ht="23" customHeight="1">
      <x:c r="A16" s="1"/>
      <x:c r="B16" s="1"/>
      <x:c r="C16" s="20" t="str">
        <x:v>Annual price return</x:v>
      </x:c>
      <x:c r="D16" s="21"/>
      <x:c r="E16" s="36" t="str">
        <x:f>IF(COUNT('Market Inputs'!E7,'Market Inputs'!D7)&lt;2,"n.a.",IF(('Market Inputs'!D7)&gt;0,('Market Inputs'!E7-'Market Inputs'!D7)/('Market Inputs'!D7),"n.a."))</x:f>
        <x:v>n.a.</x:v>
      </x:c>
      <x:c r="F16" s="36" t="str">
        <x:f>IF(COUNT('Market Inputs'!F7,'Market Inputs'!E7)&lt;2,"n.a.",IF(('Market Inputs'!E7)&gt;0,('Market Inputs'!F7-'Market Inputs'!E7)/('Market Inputs'!E7),"n.a."))</x:f>
        <x:v>n.a.</x:v>
      </x:c>
      <x:c r="G16" s="36" t="str">
        <x:f>IF(COUNT('Market Inputs'!G7,'Market Inputs'!F7)&lt;2,"n.a.",IF(('Market Inputs'!F7)&gt;0,('Market Inputs'!G7-'Market Inputs'!F7)/('Market Inputs'!F7),"n.a."))</x:f>
        <x:v>n.a.</x:v>
      </x:c>
      <x:c r="H16" s="36" t="str">
        <x:f>IF(COUNT('Market Inputs'!H7,'Market Inputs'!G7)&lt;2,"n.a.",IF(('Market Inputs'!G7)&gt;0,('Market Inputs'!H7-'Market Inputs'!G7)/('Market Inputs'!G7),"n.a."))</x:f>
        <x:v>n.a.</x:v>
      </x:c>
      <x:c r="I16" s="36" t="str">
        <x:f>IF(COUNT('Market Inputs'!I7,'Market Inputs'!H7)&lt;2,"n.a.",IF(('Market Inputs'!H7)&gt;0,('Market Inputs'!I7-'Market Inputs'!H7)/('Market Inputs'!H7),"n.a."))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Annual price-plus-cash-dividend return</x:v>
      </x:c>
      <x:c r="D17" s="21"/>
      <x:c r="E17" s="37" t="str">
        <x:f>IF(COUNT('Market Inputs'!E7,'Market Inputs'!D7,'Market Inputs'!E13)&lt;3,"n.a.",IF(('Market Inputs'!D7)&gt;0,('Market Inputs'!E7-'Market Inputs'!D7+'Market Inputs'!E13)/('Market Inputs'!D7),"n.a."))</x:f>
        <x:v>n.a.</x:v>
      </x:c>
      <x:c r="F17" s="37" t="str">
        <x:f>IF(COUNT('Market Inputs'!F7,'Market Inputs'!E7,'Market Inputs'!F13)&lt;3,"n.a.",IF(('Market Inputs'!E7)&gt;0,('Market Inputs'!F7-'Market Inputs'!E7+'Market Inputs'!F13)/('Market Inputs'!E7),"n.a."))</x:f>
        <x:v>n.a.</x:v>
      </x:c>
      <x:c r="G17" s="37" t="str">
        <x:f>IF(COUNT('Market Inputs'!G7,'Market Inputs'!F7,'Market Inputs'!G13)&lt;3,"n.a.",IF(('Market Inputs'!F7)&gt;0,('Market Inputs'!G7-'Market Inputs'!F7+'Market Inputs'!G13)/('Market Inputs'!F7),"n.a."))</x:f>
        <x:v>n.a.</x:v>
      </x:c>
      <x:c r="H17" s="37" t="str">
        <x:f>IF(COUNT('Market Inputs'!H7,'Market Inputs'!G7,'Market Inputs'!H13)&lt;3,"n.a.",IF(('Market Inputs'!G7)&gt;0,('Market Inputs'!H7-'Market Inputs'!G7+'Market Inputs'!H13)/('Market Inputs'!G7),"n.a."))</x:f>
        <x:v>n.a.</x:v>
      </x:c>
      <x:c r="I17" s="37" t="str">
        <x:f>IF(COUNT('Market Inputs'!I7,'Market Inputs'!H7,'Market Inputs'!I13)&lt;3,"n.a.",IF(('Market Inputs'!H7)&gt;0,('Market Inputs'!I7-'Market Inputs'!H7+'Market Inputs'!I13)/('Market Inputs'!H7),"n.a."))</x:f>
        <x:v>n.a.</x:v>
      </x:c>
      <x:c r="J17" s="2"/>
      <x:c r="K17" s="2" t="str">
        <x:v>Before fees and taxes; no dividend reinvestment.</x:v>
      </x:c>
      <x:c r="L17" s="2"/>
      <x:c r="M17" s="2"/>
    </x:row>
    <x:row r="18" ht="23" customHeight="1">
      <x:c r="A18" s="1"/>
      <x:c r="B18" s="1"/>
      <x:c r="C18" s="20" t="str">
        <x:v>Benchmark annual price return</x:v>
      </x:c>
      <x:c r="D18" s="21"/>
      <x:c r="E18" s="36" t="str">
        <x:f>IF(COUNT('Market Inputs'!E22,'Market Inputs'!D22)&lt;2,"n.a.",IF(('Market Inputs'!D22)&gt;0,('Market Inputs'!E22-'Market Inputs'!D22)/('Market Inputs'!D22),"n.a."))</x:f>
        <x:v>n.a.</x:v>
      </x:c>
      <x:c r="F18" s="36" t="str">
        <x:f>IF(COUNT('Market Inputs'!F22,'Market Inputs'!E22)&lt;2,"n.a.",IF(('Market Inputs'!E22)&gt;0,('Market Inputs'!F22-'Market Inputs'!E22)/('Market Inputs'!E22),"n.a."))</x:f>
        <x:v>n.a.</x:v>
      </x:c>
      <x:c r="G18" s="36" t="str">
        <x:f>IF(COUNT('Market Inputs'!G22,'Market Inputs'!F22)&lt;2,"n.a.",IF(('Market Inputs'!F22)&gt;0,('Market Inputs'!G22-'Market Inputs'!F22)/('Market Inputs'!F22),"n.a."))</x:f>
        <x:v>n.a.</x:v>
      </x:c>
      <x:c r="H18" s="36" t="str">
        <x:f>IF(COUNT('Market Inputs'!H22,'Market Inputs'!G22)&lt;2,"n.a.",IF(('Market Inputs'!G22)&gt;0,('Market Inputs'!H22-'Market Inputs'!G22)/('Market Inputs'!G22),"n.a."))</x:f>
        <x:v>n.a.</x:v>
      </x:c>
      <x:c r="I18" s="36" t="str">
        <x:f>IF(COUNT('Market Inputs'!I22,'Market Inputs'!H22)&lt;2,"n.a.",IF(('Market Inputs'!H22)&gt;0,('Market Inputs'!I22-'Market Inputs'!H22)/('Market Inputs'!H22),"n.a."))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Price return less benchmark price return</x:v>
      </x:c>
      <x:c r="D19" s="21"/>
      <x:c r="E19" s="37" t="str">
        <x:f>IF(COUNT('Investment Returns'!E16,'Investment Returns'!E18)&lt;2,"n.a.",IF(TRUE,'Investment Returns'!E16-'Investment Returns'!E18,"n.a."))</x:f>
        <x:v>n.a.</x:v>
      </x:c>
      <x:c r="F19" s="37" t="str">
        <x:f>IF(COUNT('Investment Returns'!F16,'Investment Returns'!F18)&lt;2,"n.a.",IF(TRUE,'Investment Returns'!F16-'Investment Returns'!F18,"n.a."))</x:f>
        <x:v>n.a.</x:v>
      </x:c>
      <x:c r="G19" s="37" t="str">
        <x:f>IF(COUNT('Investment Returns'!G16,'Investment Returns'!G18)&lt;2,"n.a.",IF(TRUE,'Investment Returns'!G16-'Investment Returns'!G18,"n.a."))</x:f>
        <x:v>n.a.</x:v>
      </x:c>
      <x:c r="H19" s="37" t="str">
        <x:f>IF(COUNT('Investment Returns'!H16,'Investment Returns'!H18)&lt;2,"n.a.",IF(TRUE,'Investment Returns'!H16-'Investment Returns'!H18,"n.a."))</x:f>
        <x:v>n.a.</x:v>
      </x:c>
      <x:c r="I19" s="37" t="str">
        <x:f>IF(COUNT('Investment Returns'!I16,'Investment Returns'!I18)&lt;2,"n.a.",IF(TRUE,'Investment Returns'!I16-'Investment Returns'!I18,"n.a."))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Producer or wholesale price index growth</x:v>
      </x:c>
      <x:c r="D20" s="21"/>
      <x:c r="E20" s="36" t="str">
        <x:f>IF(COUNT('Market Inputs'!E23,'Market Inputs'!D23)&lt;2,"n.a.",IF(('Market Inputs'!D23)&gt;0,('Market Inputs'!E23-'Market Inputs'!D23)/('Market Inputs'!D23),"n.a."))</x:f>
        <x:v>n.a.</x:v>
      </x:c>
      <x:c r="F20" s="36" t="str">
        <x:f>IF(COUNT('Market Inputs'!F23,'Market Inputs'!E23)&lt;2,"n.a.",IF(('Market Inputs'!E23)&gt;0,('Market Inputs'!F23-'Market Inputs'!E23)/('Market Inputs'!E23),"n.a."))</x:f>
        <x:v>n.a.</x:v>
      </x:c>
      <x:c r="G20" s="36" t="str">
        <x:f>IF(COUNT('Market Inputs'!G23,'Market Inputs'!F23)&lt;2,"n.a.",IF(('Market Inputs'!F23)&gt;0,('Market Inputs'!G23-'Market Inputs'!F23)/('Market Inputs'!F23),"n.a."))</x:f>
        <x:v>n.a.</x:v>
      </x:c>
      <x:c r="H20" s="36" t="str">
        <x:f>IF(COUNT('Market Inputs'!H23,'Market Inputs'!G23)&lt;2,"n.a.",IF(('Market Inputs'!G23)&gt;0,('Market Inputs'!H23-'Market Inputs'!G23)/('Market Inputs'!G23),"n.a."))</x:f>
        <x:v>n.a.</x:v>
      </x:c>
      <x:c r="I20" s="36" t="str">
        <x:f>IF(COUNT('Market Inputs'!I23,'Market Inputs'!H23)&lt;2,"n.a.",IF(('Market Inputs'!H23)&gt;0,('Market Inputs'!I23-'Market Inputs'!H23)/('Market Inputs'!H23),"n.a."))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ETF Comparison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Three funds with monthly contributions and dividend choices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1"/>
      <x:c r="B5" s="1"/>
      <x:c r="C5" s="10" t="str">
        <x:v>Fund assumptions</x:v>
      </x:c>
      <x:c r="D5" s="10" t="str">
        <x:v>Fund 1</x:v>
      </x:c>
      <x:c r="E5" s="10" t="str">
        <x:v>Fund 2</x:v>
      </x:c>
      <x:c r="F5" s="10" t="str">
        <x:v>Fund 3</x:v>
      </x:c>
      <x:c r="G5" s="2"/>
      <x:c r="H5" s="2"/>
      <x:c r="I5" s="2"/>
      <x:c r="J5" s="2"/>
      <x:c r="K5" s="2"/>
      <x:c r="L5" s="2"/>
      <x:c r="M5" s="2"/>
    </x:row>
    <x:row r="6" ht="23" customHeight="1">
      <x:c r="A6" s="1"/>
      <x:c r="B6" s="1"/>
      <x:c r="C6" s="2" t="str">
        <x:v>Ticker / fund name</x:v>
      </x:c>
      <x:c r="D6" s="62"/>
      <x:c r="E6" s="62"/>
      <x:c r="F6" s="6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Initial deposit</x:v>
      </x:c>
      <x:c r="D7" s="62"/>
      <x:c r="E7" s="62"/>
      <x:c r="F7" s="62"/>
      <x:c r="G7" s="2"/>
      <x:c r="H7" s="2"/>
      <x:c r="I7" s="2"/>
      <x:c r="J7" s="2"/>
      <x:c r="K7" s="2" t="str">
        <x:v>All amounts in currency units. Monthly deposits occur after returns and distributions.</x:v>
      </x:c>
      <x:c r="L7" s="2"/>
      <x:c r="M7" s="2"/>
    </x:row>
    <x:row r="8" ht="23" customHeight="1">
      <x:c r="A8" s="1"/>
      <x:c r="B8" s="1"/>
      <x:c r="C8" s="2" t="str">
        <x:v>Monthly contribution, month-end</x:v>
      </x:c>
      <x:c r="D8" s="62"/>
      <x:c r="E8" s="62"/>
      <x:c r="F8" s="62"/>
      <x:c r="G8" s="2"/>
      <x:c r="H8" s="2"/>
      <x:c r="I8" s="2"/>
      <x:c r="J8" s="2"/>
      <x:c r="K8" s="2"/>
      <x:c r="L8" s="2"/>
      <x:c r="M8" s="2"/>
    </x:row>
    <x:row r="9" ht="23" customHeight="1">
      <x:c r="A9" s="1"/>
      <x:c r="B9" s="1"/>
      <x:c r="C9" s="2" t="str">
        <x:v>Annual price growth before fees</x:v>
      </x:c>
      <x:c r="D9" s="81"/>
      <x:c r="E9" s="81"/>
      <x:c r="F9" s="81"/>
      <x:c r="G9" s="2"/>
      <x:c r="H9" s="2"/>
      <x:c r="I9" s="2"/>
      <x:c r="J9" s="2"/>
      <x:c r="K9" s="2" t="str">
        <x:v>Monthly price rate = (1 + growth)^(1/12) − 1. Yield and fees accrue at 1/12 annually.</x:v>
      </x:c>
      <x:c r="L9" s="2"/>
      <x:c r="M9" s="2"/>
    </x:row>
    <x:row r="10" ht="23" customHeight="1">
      <x:c r="A10" s="1"/>
      <x:c r="B10" s="1"/>
      <x:c r="C10" s="2" t="str">
        <x:v>Annual cash dividend yield</x:v>
      </x:c>
      <x:c r="D10" s="81"/>
      <x:c r="E10" s="81"/>
      <x:c r="F10" s="81"/>
      <x:c r="G10" s="2"/>
      <x:c r="H10" s="2"/>
      <x:c r="I10" s="2"/>
      <x:c r="J10" s="2"/>
      <x:c r="K10" s="2"/>
      <x:c r="L10" s="2"/>
      <x:c r="M10" s="2"/>
    </x:row>
    <x:row r="11" ht="23" customHeight="1">
      <x:c r="A11" s="1"/>
      <x:c r="B11" s="1"/>
      <x:c r="C11" s="2" t="str">
        <x:v>Annual expense ratio</x:v>
      </x:c>
      <x:c r="D11" s="81"/>
      <x:c r="E11" s="81"/>
      <x:c r="F11" s="81"/>
      <x:c r="G11" s="2"/>
      <x:c r="H11" s="2"/>
      <x:c r="I11" s="2"/>
      <x:c r="J11" s="2"/>
      <x:c r="K11" s="2" t="str">
        <x:v>Enter gross price growth; a total-return assumption would double-count dividends.</x:v>
      </x:c>
      <x:c r="L11" s="2"/>
      <x:c r="M11" s="2"/>
    </x:row>
    <x:row r="12" ht="23" customHeight="1">
      <x:c r="A12" s="1"/>
      <x:c r="B12" s="1"/>
      <x:c r="C12" s="2" t="str">
        <x:v>Reinvest dividends (1 = yes, 0 = no)</x:v>
      </x:c>
      <x:c r="D12" s="62"/>
      <x:c r="E12" s="62"/>
      <x:c r="F12" s="62"/>
      <x:c r="G12" s="2"/>
      <x:c r="H12" s="2"/>
      <x:c r="I12" s="2"/>
      <x:c r="J12" s="2"/>
      <x:c r="K12" s="2"/>
      <x:c r="L12" s="2"/>
      <x:c r="M12" s="2"/>
    </x:row>
    <x:row r="13" ht="23" customHeight="1">
      <x:c r="A13" s="1"/>
      <x:c r="B13" s="1"/>
      <x:c r="C13" s="2" t="str">
        <x:v>Current age, optional</x:v>
      </x:c>
      <x:c r="D13" s="62"/>
      <x:c r="E13" s="62"/>
      <x:c r="F13" s="62"/>
      <x:c r="G13" s="2"/>
      <x:c r="H13" s="2"/>
      <x:c r="I13" s="2"/>
      <x:c r="J13" s="2"/>
      <x:c r="K13" s="2"/>
      <x:c r="L13" s="2"/>
      <x:c r="M13" s="2"/>
    </x:row>
    <x:row r="14" ht="23" customHeight="1">
      <x:c r="A14" s="1"/>
      <x:c r="B14" s="1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1"/>
      <x:c r="B15" s="1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34" customHeight="1">
      <x:c r="A16" s="1"/>
      <x:c r="B16" s="1"/>
      <x:c r="C16" s="84" t="str">
        <x:v>Year</x:v>
      </x:c>
      <x:c r="D16" s="83" t="str">
        <x:v>Fund 1 balance</x:v>
      </x:c>
      <x:c r="E16" s="83" t="str">
        <x:v>Cash dividends
Fund 1</x:v>
      </x:c>
      <x:c r="F16" s="83" t="str">
        <x:v>Fund 2 balance</x:v>
      </x:c>
      <x:c r="G16" s="83" t="str">
        <x:v>Cash dividends
Fund 2</x:v>
      </x:c>
      <x:c r="H16" s="83" t="str">
        <x:v>Fund 3 balance</x:v>
      </x:c>
      <x:c r="I16" s="83" t="str">
        <x:v>Cash dividends
Fund 3</x:v>
      </x:c>
      <x:c r="J16" s="2"/>
      <x:c r="K16" s="2"/>
      <x:c r="L16" s="2"/>
      <x:c r="M16" s="2"/>
    </x:row>
    <x:row r="17" ht="23" customHeight="1">
      <x:c r="A17" s="1"/>
      <x:c r="B17" s="1"/>
      <x:c r="C17" s="85" t="n">
        <x:v>0</x:v>
      </x:c>
      <x:c r="D17" s="15" t="str">
        <x:f>IF(ISNUMBER(D33),D33,"n.a.")</x:f>
        <x:v>n.a.</x:v>
      </x:c>
      <x:c r="E17" s="15" t="str">
        <x:f>IF(ISNUMBER(E33),E33,"n.a.")</x:f>
        <x:v>n.a.</x:v>
      </x:c>
      <x:c r="F17" s="15" t="str">
        <x:f>IF(ISNUMBER(G33),G33,"n.a.")</x:f>
        <x:v>n.a.</x:v>
      </x:c>
      <x:c r="G17" s="15" t="str">
        <x:f>IF(ISNUMBER(H33),H33,"n.a.")</x:f>
        <x:v>n.a.</x:v>
      </x:c>
      <x:c r="H17" s="15" t="str">
        <x:f>IF(ISNUMBER(J33),J33,"n.a.")</x:f>
        <x:v>n.a.</x:v>
      </x:c>
      <x:c r="I17" s="15" t="str">
        <x:f>IF(ISNUMBER(K33),K33,"n.a.")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85" t="n">
        <x:v>1</x:v>
      </x:c>
      <x:c r="D18" s="15" t="str">
        <x:f>IF(ISNUMBER(D45),D45,"n.a.")</x:f>
        <x:v>n.a.</x:v>
      </x:c>
      <x:c r="E18" s="15" t="str">
        <x:f>IF(ISNUMBER(E45),E45,"n.a.")</x:f>
        <x:v>n.a.</x:v>
      </x:c>
      <x:c r="F18" s="15" t="str">
        <x:f>IF(ISNUMBER(G45),G45,"n.a.")</x:f>
        <x:v>n.a.</x:v>
      </x:c>
      <x:c r="G18" s="15" t="str">
        <x:f>IF(ISNUMBER(H45),H45,"n.a.")</x:f>
        <x:v>n.a.</x:v>
      </x:c>
      <x:c r="H18" s="15" t="str">
        <x:f>IF(ISNUMBER(J45),J45,"n.a.")</x:f>
        <x:v>n.a.</x:v>
      </x:c>
      <x:c r="I18" s="15" t="str">
        <x:f>IF(ISNUMBER(K45),K45,"n.a.")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85" t="n">
        <x:v>2</x:v>
      </x:c>
      <x:c r="D19" s="15" t="str">
        <x:f>IF(ISNUMBER(D57),D57,"n.a.")</x:f>
        <x:v>n.a.</x:v>
      </x:c>
      <x:c r="E19" s="15" t="str">
        <x:f>IF(ISNUMBER(E57),E57,"n.a.")</x:f>
        <x:v>n.a.</x:v>
      </x:c>
      <x:c r="F19" s="15" t="str">
        <x:f>IF(ISNUMBER(G57),G57,"n.a.")</x:f>
        <x:v>n.a.</x:v>
      </x:c>
      <x:c r="G19" s="15" t="str">
        <x:f>IF(ISNUMBER(H57),H57,"n.a.")</x:f>
        <x:v>n.a.</x:v>
      </x:c>
      <x:c r="H19" s="15" t="str">
        <x:f>IF(ISNUMBER(J57),J57,"n.a.")</x:f>
        <x:v>n.a.</x:v>
      </x:c>
      <x:c r="I19" s="15" t="str">
        <x:f>IF(ISNUMBER(K57),K57,"n.a.")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85" t="n">
        <x:v>3</x:v>
      </x:c>
      <x:c r="D20" s="15" t="str">
        <x:f>IF(ISNUMBER(D69),D69,"n.a.")</x:f>
        <x:v>n.a.</x:v>
      </x:c>
      <x:c r="E20" s="15" t="str">
        <x:f>IF(ISNUMBER(E69),E69,"n.a.")</x:f>
        <x:v>n.a.</x:v>
      </x:c>
      <x:c r="F20" s="15" t="str">
        <x:f>IF(ISNUMBER(G69),G69,"n.a.")</x:f>
        <x:v>n.a.</x:v>
      </x:c>
      <x:c r="G20" s="15" t="str">
        <x:f>IF(ISNUMBER(H69),H69,"n.a.")</x:f>
        <x:v>n.a.</x:v>
      </x:c>
      <x:c r="H20" s="15" t="str">
        <x:f>IF(ISNUMBER(J69),J69,"n.a.")</x:f>
        <x:v>n.a.</x:v>
      </x:c>
      <x:c r="I20" s="15" t="str">
        <x:f>IF(ISNUMBER(K69),K69,"n.a.")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85" t="n">
        <x:v>4</x:v>
      </x:c>
      <x:c r="D21" s="15" t="str">
        <x:f>IF(ISNUMBER(D81),D81,"n.a.")</x:f>
        <x:v>n.a.</x:v>
      </x:c>
      <x:c r="E21" s="15" t="str">
        <x:f>IF(ISNUMBER(E81),E81,"n.a.")</x:f>
        <x:v>n.a.</x:v>
      </x:c>
      <x:c r="F21" s="15" t="str">
        <x:f>IF(ISNUMBER(G81),G81,"n.a.")</x:f>
        <x:v>n.a.</x:v>
      </x:c>
      <x:c r="G21" s="15" t="str">
        <x:f>IF(ISNUMBER(H81),H81,"n.a.")</x:f>
        <x:v>n.a.</x:v>
      </x:c>
      <x:c r="H21" s="15" t="str">
        <x:f>IF(ISNUMBER(J81),J81,"n.a.")</x:f>
        <x:v>n.a.</x:v>
      </x:c>
      <x:c r="I21" s="15" t="str">
        <x:f>IF(ISNUMBER(K81),K81,"n.a.")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85" t="n">
        <x:v>5</x:v>
      </x:c>
      <x:c r="D22" s="15" t="str">
        <x:f>IF(ISNUMBER(D93),D93,"n.a.")</x:f>
        <x:v>n.a.</x:v>
      </x:c>
      <x:c r="E22" s="15" t="str">
        <x:f>IF(ISNUMBER(E93),E93,"n.a.")</x:f>
        <x:v>n.a.</x:v>
      </x:c>
      <x:c r="F22" s="15" t="str">
        <x:f>IF(ISNUMBER(G93),G93,"n.a.")</x:f>
        <x:v>n.a.</x:v>
      </x:c>
      <x:c r="G22" s="15" t="str">
        <x:f>IF(ISNUMBER(H93),H93,"n.a.")</x:f>
        <x:v>n.a.</x:v>
      </x:c>
      <x:c r="H22" s="15" t="str">
        <x:f>IF(ISNUMBER(J93),J93,"n.a.")</x:f>
        <x:v>n.a.</x:v>
      </x:c>
      <x:c r="I22" s="15" t="str">
        <x:f>IF(ISNUMBER(K93),K93,"n.a.")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85" t="n">
        <x:v>6</x:v>
      </x:c>
      <x:c r="D23" s="15" t="str">
        <x:f>IF(ISNUMBER(D105),D105,"n.a.")</x:f>
        <x:v>n.a.</x:v>
      </x:c>
      <x:c r="E23" s="15" t="str">
        <x:f>IF(ISNUMBER(E105),E105,"n.a.")</x:f>
        <x:v>n.a.</x:v>
      </x:c>
      <x:c r="F23" s="15" t="str">
        <x:f>IF(ISNUMBER(G105),G105,"n.a.")</x:f>
        <x:v>n.a.</x:v>
      </x:c>
      <x:c r="G23" s="15" t="str">
        <x:f>IF(ISNUMBER(H105),H105,"n.a.")</x:f>
        <x:v>n.a.</x:v>
      </x:c>
      <x:c r="H23" s="15" t="str">
        <x:f>IF(ISNUMBER(J105),J105,"n.a.")</x:f>
        <x:v>n.a.</x:v>
      </x:c>
      <x:c r="I23" s="15" t="str">
        <x:f>IF(ISNUMBER(K105),K105,"n.a.")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85" t="n">
        <x:v>7</x:v>
      </x:c>
      <x:c r="D24" s="15" t="str">
        <x:f>IF(ISNUMBER(D117),D117,"n.a.")</x:f>
        <x:v>n.a.</x:v>
      </x:c>
      <x:c r="E24" s="15" t="str">
        <x:f>IF(ISNUMBER(E117),E117,"n.a.")</x:f>
        <x:v>n.a.</x:v>
      </x:c>
      <x:c r="F24" s="15" t="str">
        <x:f>IF(ISNUMBER(G117),G117,"n.a.")</x:f>
        <x:v>n.a.</x:v>
      </x:c>
      <x:c r="G24" s="15" t="str">
        <x:f>IF(ISNUMBER(H117),H117,"n.a.")</x:f>
        <x:v>n.a.</x:v>
      </x:c>
      <x:c r="H24" s="15" t="str">
        <x:f>IF(ISNUMBER(J117),J117,"n.a.")</x:f>
        <x:v>n.a.</x:v>
      </x:c>
      <x:c r="I24" s="15" t="str">
        <x:f>IF(ISNUMBER(K117),K117,"n.a.")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85" t="n">
        <x:v>8</x:v>
      </x:c>
      <x:c r="D25" s="15" t="str">
        <x:f>IF(ISNUMBER(D129),D129,"n.a.")</x:f>
        <x:v>n.a.</x:v>
      </x:c>
      <x:c r="E25" s="15" t="str">
        <x:f>IF(ISNUMBER(E129),E129,"n.a.")</x:f>
        <x:v>n.a.</x:v>
      </x:c>
      <x:c r="F25" s="15" t="str">
        <x:f>IF(ISNUMBER(G129),G129,"n.a.")</x:f>
        <x:v>n.a.</x:v>
      </x:c>
      <x:c r="G25" s="15" t="str">
        <x:f>IF(ISNUMBER(H129),H129,"n.a.")</x:f>
        <x:v>n.a.</x:v>
      </x:c>
      <x:c r="H25" s="15" t="str">
        <x:f>IF(ISNUMBER(J129),J129,"n.a.")</x:f>
        <x:v>n.a.</x:v>
      </x:c>
      <x:c r="I25" s="15" t="str">
        <x:f>IF(ISNUMBER(K129),K129,"n.a.")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85" t="n">
        <x:v>9</x:v>
      </x:c>
      <x:c r="D26" s="15" t="str">
        <x:f>IF(ISNUMBER(D141),D141,"n.a.")</x:f>
        <x:v>n.a.</x:v>
      </x:c>
      <x:c r="E26" s="15" t="str">
        <x:f>IF(ISNUMBER(E141),E141,"n.a.")</x:f>
        <x:v>n.a.</x:v>
      </x:c>
      <x:c r="F26" s="15" t="str">
        <x:f>IF(ISNUMBER(G141),G141,"n.a.")</x:f>
        <x:v>n.a.</x:v>
      </x:c>
      <x:c r="G26" s="15" t="str">
        <x:f>IF(ISNUMBER(H141),H141,"n.a.")</x:f>
        <x:v>n.a.</x:v>
      </x:c>
      <x:c r="H26" s="15" t="str">
        <x:f>IF(ISNUMBER(J141),J141,"n.a.")</x:f>
        <x:v>n.a.</x:v>
      </x:c>
      <x:c r="I26" s="15" t="str">
        <x:f>IF(ISNUMBER(K141),K141,"n.a.")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85" t="n">
        <x:v>10</x:v>
      </x:c>
      <x:c r="D27" s="15" t="str">
        <x:f>IF(ISNUMBER(D153),D153,"n.a.")</x:f>
        <x:v>n.a.</x:v>
      </x:c>
      <x:c r="E27" s="15" t="str">
        <x:f>IF(ISNUMBER(E153),E153,"n.a.")</x:f>
        <x:v>n.a.</x:v>
      </x:c>
      <x:c r="F27" s="15" t="str">
        <x:f>IF(ISNUMBER(G153),G153,"n.a.")</x:f>
        <x:v>n.a.</x:v>
      </x:c>
      <x:c r="G27" s="15" t="str">
        <x:f>IF(ISNUMBER(H153),H153,"n.a.")</x:f>
        <x:v>n.a.</x:v>
      </x:c>
      <x:c r="H27" s="15" t="str">
        <x:f>IF(ISNUMBER(J153),J153,"n.a.")</x:f>
        <x:v>n.a.</x:v>
      </x:c>
      <x:c r="I27" s="15" t="str">
        <x:f>IF(ISNUMBER(K153),K153,"n.a.")</x:f>
        <x:v>n.a.</x:v>
      </x:c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C29" t="str">
        <x:v>Monthly calculation detail below</x:v>
      </x:c>
    </x:row>
    <x:row r="31" ht="42" customHeight="1">
      <x:c r="C31" s="88" t="str">
        <x:v>Month</x:v>
      </x:c>
      <x:c r="D31" s="88" t="str">
        <x:v>Fund 1 balance</x:v>
      </x:c>
      <x:c r="E31" s="88" t="str">
        <x:v>Cash paid 1, cumulative</x:v>
      </x:c>
      <x:c r="F31" s="88" t="str">
        <x:v>Contributions 1</x:v>
      </x:c>
      <x:c r="G31" s="88" t="str">
        <x:v>Fund 2 balance</x:v>
      </x:c>
      <x:c r="H31" s="88" t="str">
        <x:v>Cash paid 2, cumulative</x:v>
      </x:c>
      <x:c r="I31" s="88" t="str">
        <x:v>Contributions 2</x:v>
      </x:c>
      <x:c r="J31" s="88" t="str">
        <x:v>Fund 3 balance</x:v>
      </x:c>
      <x:c r="K31" s="88" t="str">
        <x:v>Cash paid 3, cumulative</x:v>
      </x:c>
      <x:c r="L31" s="88" t="str">
        <x:v>Contributions 3</x:v>
      </x:c>
    </x:row>
    <x:row r="32">
      <x:c r="D32" s="89"/>
      <x:c r="E32" s="89"/>
      <x:c r="F32" s="89"/>
      <x:c r="G32" s="89"/>
      <x:c r="H32" s="89"/>
      <x:c r="I32" s="89"/>
      <x:c r="J32" s="89"/>
      <x:c r="K32" s="89"/>
      <x:c r="L32" s="89"/>
    </x:row>
    <x:row r="33">
      <x:c r="C33" t="n">
        <x:v>0</x:v>
      </x:c>
      <x:c r="D33" s="89" t="str">
        <x:f>IF(AND(COUNT(D$7:D$12)=6,D$7&gt;=0,D$8&gt;=0,D$9&gt;-1,D$10&gt;=0,D$11&gt;=0,OR(D$12=0,D$12=1)),D$7,"n.a.")</x:f>
        <x:v>n.a.</x:v>
      </x:c>
      <x:c r="E33" s="89" t="str">
        <x:f>IF(AND(COUNT(D$7:D$12)=6,D$7&gt;=0,D$8&gt;=0,D$9&gt;-1,D$10&gt;=0,D$11&gt;=0,OR(D$12=0,D$12=1)),0,"n.a.")</x:f>
        <x:v>n.a.</x:v>
      </x:c>
      <x:c r="F33" s="89" t="str">
        <x:f>IF(AND(COUNT(D$7:D$12)=6,D$7&gt;=0,D$8&gt;=0,D$9&gt;-1,D$10&gt;=0,D$11&gt;=0,OR(D$12=0,D$12=1)),D$7+0*D$8,"n.a.")</x:f>
        <x:v>n.a.</x:v>
      </x:c>
      <x:c r="G33" s="89" t="str">
        <x:f>IF(AND(COUNT(E$7:E$12)=6,E$7&gt;=0,E$8&gt;=0,E$9&gt;-1,E$10&gt;=0,E$11&gt;=0,OR(E$12=0,E$12=1)),E$7,"n.a.")</x:f>
        <x:v>n.a.</x:v>
      </x:c>
      <x:c r="H33" s="89" t="str">
        <x:f>IF(AND(COUNT(E$7:E$12)=6,E$7&gt;=0,E$8&gt;=0,E$9&gt;-1,E$10&gt;=0,E$11&gt;=0,OR(E$12=0,E$12=1)),0,"n.a.")</x:f>
        <x:v>n.a.</x:v>
      </x:c>
      <x:c r="I33" s="89" t="str">
        <x:f>IF(AND(COUNT(E$7:E$12)=6,E$7&gt;=0,E$8&gt;=0,E$9&gt;-1,E$10&gt;=0,E$11&gt;=0,OR(E$12=0,E$12=1)),E$7+0*E$8,"n.a.")</x:f>
        <x:v>n.a.</x:v>
      </x:c>
      <x:c r="J33" s="89" t="str">
        <x:f>IF(AND(COUNT(F$7:F$12)=6,F$7&gt;=0,F$8&gt;=0,F$9&gt;-1,F$10&gt;=0,F$11&gt;=0,OR(F$12=0,F$12=1)),F$7,"n.a.")</x:f>
        <x:v>n.a.</x:v>
      </x:c>
      <x:c r="K33" s="89" t="str">
        <x:f>IF(AND(COUNT(F$7:F$12)=6,F$7&gt;=0,F$8&gt;=0,F$9&gt;-1,F$10&gt;=0,F$11&gt;=0,OR(F$12=0,F$12=1)),0,"n.a.")</x:f>
        <x:v>n.a.</x:v>
      </x:c>
      <x:c r="L33" s="89" t="str">
        <x:f>IF(AND(COUNT(F$7:F$12)=6,F$7&gt;=0,F$8&gt;=0,F$9&gt;-1,F$10&gt;=0,F$11&gt;=0,OR(F$12=0,F$12=1)),F$7+0*F$8,"n.a.")</x:f>
        <x:v>n.a.</x:v>
      </x:c>
    </x:row>
    <x:row r="34">
      <x:c r="C34" t="n">
        <x:v>1</x:v>
      </x:c>
      <x:c r="D34" s="89" t="str">
        <x:f>IF(AND(AND(COUNT(D$7:D$12)=6,D$7&gt;=0,D$8&gt;=0,D$9&gt;-1,D$10&gt;=0,D$11&gt;=0,OR(D$12=0,D$12=1)),ISNUMBER(D33)),D33*((1+D$9)^(1/12)+D$10/12*D$12-D$11/12)+D$8,"n.a.")</x:f>
        <x:v>n.a.</x:v>
      </x:c>
      <x:c r="E34" s="89" t="str">
        <x:f>IF(AND(AND(COUNT(D$7:D$12)=6,D$7&gt;=0,D$8&gt;=0,D$9&gt;-1,D$10&gt;=0,D$11&gt;=0,OR(D$12=0,D$12=1)),COUNT(E33,D33)=2),E33+D33*D$10/12*(1-D$12),"n.a.")</x:f>
        <x:v>n.a.</x:v>
      </x:c>
      <x:c r="F34" s="89" t="str">
        <x:f>IF(AND(COUNT(D$7:D$12)=6,D$7&gt;=0,D$8&gt;=0,D$9&gt;-1,D$10&gt;=0,D$11&gt;=0,OR(D$12=0,D$12=1)),D$7+1*D$8,"n.a.")</x:f>
        <x:v>n.a.</x:v>
      </x:c>
      <x:c r="G34" s="89" t="str">
        <x:f>IF(AND(AND(COUNT(E$7:E$12)=6,E$7&gt;=0,E$8&gt;=0,E$9&gt;-1,E$10&gt;=0,E$11&gt;=0,OR(E$12=0,E$12=1)),ISNUMBER(G33)),G33*((1+E$9)^(1/12)+E$10/12*E$12-E$11/12)+E$8,"n.a.")</x:f>
        <x:v>n.a.</x:v>
      </x:c>
      <x:c r="H34" s="89" t="str">
        <x:f>IF(AND(AND(COUNT(E$7:E$12)=6,E$7&gt;=0,E$8&gt;=0,E$9&gt;-1,E$10&gt;=0,E$11&gt;=0,OR(E$12=0,E$12=1)),COUNT(H33,G33)=2),H33+G33*E$10/12*(1-E$12),"n.a.")</x:f>
        <x:v>n.a.</x:v>
      </x:c>
      <x:c r="I34" s="89" t="str">
        <x:f>IF(AND(COUNT(E$7:E$12)=6,E$7&gt;=0,E$8&gt;=0,E$9&gt;-1,E$10&gt;=0,E$11&gt;=0,OR(E$12=0,E$12=1)),E$7+1*E$8,"n.a.")</x:f>
        <x:v>n.a.</x:v>
      </x:c>
      <x:c r="J34" s="89" t="str">
        <x:f>IF(AND(AND(COUNT(F$7:F$12)=6,F$7&gt;=0,F$8&gt;=0,F$9&gt;-1,F$10&gt;=0,F$11&gt;=0,OR(F$12=0,F$12=1)),ISNUMBER(J33)),J33*((1+F$9)^(1/12)+F$10/12*F$12-F$11/12)+F$8,"n.a.")</x:f>
        <x:v>n.a.</x:v>
      </x:c>
      <x:c r="K34" s="89" t="str">
        <x:f>IF(AND(AND(COUNT(F$7:F$12)=6,F$7&gt;=0,F$8&gt;=0,F$9&gt;-1,F$10&gt;=0,F$11&gt;=0,OR(F$12=0,F$12=1)),COUNT(K33,J33)=2),K33+J33*F$10/12*(1-F$12),"n.a.")</x:f>
        <x:v>n.a.</x:v>
      </x:c>
      <x:c r="L34" s="89" t="str">
        <x:f>IF(AND(COUNT(F$7:F$12)=6,F$7&gt;=0,F$8&gt;=0,F$9&gt;-1,F$10&gt;=0,F$11&gt;=0,OR(F$12=0,F$12=1)),F$7+1*F$8,"n.a.")</x:f>
        <x:v>n.a.</x:v>
      </x:c>
    </x:row>
    <x:row r="35">
      <x:c r="C35" t="n">
        <x:v>2</x:v>
      </x:c>
      <x:c r="D35" s="89" t="str">
        <x:f>IF(AND(AND(COUNT(D$7:D$12)=6,D$7&gt;=0,D$8&gt;=0,D$9&gt;-1,D$10&gt;=0,D$11&gt;=0,OR(D$12=0,D$12=1)),ISNUMBER(D34)),D34*((1+D$9)^(1/12)+D$10/12*D$12-D$11/12)+D$8,"n.a.")</x:f>
        <x:v>n.a.</x:v>
      </x:c>
      <x:c r="E35" s="89" t="str">
        <x:f>IF(AND(AND(COUNT(D$7:D$12)=6,D$7&gt;=0,D$8&gt;=0,D$9&gt;-1,D$10&gt;=0,D$11&gt;=0,OR(D$12=0,D$12=1)),COUNT(E34,D34)=2),E34+D34*D$10/12*(1-D$12),"n.a.")</x:f>
        <x:v>n.a.</x:v>
      </x:c>
      <x:c r="F35" s="89" t="str">
        <x:f>IF(AND(COUNT(D$7:D$12)=6,D$7&gt;=0,D$8&gt;=0,D$9&gt;-1,D$10&gt;=0,D$11&gt;=0,OR(D$12=0,D$12=1)),D$7+2*D$8,"n.a.")</x:f>
        <x:v>n.a.</x:v>
      </x:c>
      <x:c r="G35" s="89" t="str">
        <x:f>IF(AND(AND(COUNT(E$7:E$12)=6,E$7&gt;=0,E$8&gt;=0,E$9&gt;-1,E$10&gt;=0,E$11&gt;=0,OR(E$12=0,E$12=1)),ISNUMBER(G34)),G34*((1+E$9)^(1/12)+E$10/12*E$12-E$11/12)+E$8,"n.a.")</x:f>
        <x:v>n.a.</x:v>
      </x:c>
      <x:c r="H35" s="89" t="str">
        <x:f>IF(AND(AND(COUNT(E$7:E$12)=6,E$7&gt;=0,E$8&gt;=0,E$9&gt;-1,E$10&gt;=0,E$11&gt;=0,OR(E$12=0,E$12=1)),COUNT(H34,G34)=2),H34+G34*E$10/12*(1-E$12),"n.a.")</x:f>
        <x:v>n.a.</x:v>
      </x:c>
      <x:c r="I35" s="89" t="str">
        <x:f>IF(AND(COUNT(E$7:E$12)=6,E$7&gt;=0,E$8&gt;=0,E$9&gt;-1,E$10&gt;=0,E$11&gt;=0,OR(E$12=0,E$12=1)),E$7+2*E$8,"n.a.")</x:f>
        <x:v>n.a.</x:v>
      </x:c>
      <x:c r="J35" s="89" t="str">
        <x:f>IF(AND(AND(COUNT(F$7:F$12)=6,F$7&gt;=0,F$8&gt;=0,F$9&gt;-1,F$10&gt;=0,F$11&gt;=0,OR(F$12=0,F$12=1)),ISNUMBER(J34)),J34*((1+F$9)^(1/12)+F$10/12*F$12-F$11/12)+F$8,"n.a.")</x:f>
        <x:v>n.a.</x:v>
      </x:c>
      <x:c r="K35" s="89" t="str">
        <x:f>IF(AND(AND(COUNT(F$7:F$12)=6,F$7&gt;=0,F$8&gt;=0,F$9&gt;-1,F$10&gt;=0,F$11&gt;=0,OR(F$12=0,F$12=1)),COUNT(K34,J34)=2),K34+J34*F$10/12*(1-F$12),"n.a.")</x:f>
        <x:v>n.a.</x:v>
      </x:c>
      <x:c r="L35" s="89" t="str">
        <x:f>IF(AND(COUNT(F$7:F$12)=6,F$7&gt;=0,F$8&gt;=0,F$9&gt;-1,F$10&gt;=0,F$11&gt;=0,OR(F$12=0,F$12=1)),F$7+2*F$8,"n.a.")</x:f>
        <x:v>n.a.</x:v>
      </x:c>
    </x:row>
    <x:row r="36">
      <x:c r="C36" t="n">
        <x:v>3</x:v>
      </x:c>
      <x:c r="D36" s="89" t="str">
        <x:f>IF(AND(AND(COUNT(D$7:D$12)=6,D$7&gt;=0,D$8&gt;=0,D$9&gt;-1,D$10&gt;=0,D$11&gt;=0,OR(D$12=0,D$12=1)),ISNUMBER(D35)),D35*((1+D$9)^(1/12)+D$10/12*D$12-D$11/12)+D$8,"n.a.")</x:f>
        <x:v>n.a.</x:v>
      </x:c>
      <x:c r="E36" s="89" t="str">
        <x:f>IF(AND(AND(COUNT(D$7:D$12)=6,D$7&gt;=0,D$8&gt;=0,D$9&gt;-1,D$10&gt;=0,D$11&gt;=0,OR(D$12=0,D$12=1)),COUNT(E35,D35)=2),E35+D35*D$10/12*(1-D$12),"n.a.")</x:f>
        <x:v>n.a.</x:v>
      </x:c>
      <x:c r="F36" s="89" t="str">
        <x:f>IF(AND(COUNT(D$7:D$12)=6,D$7&gt;=0,D$8&gt;=0,D$9&gt;-1,D$10&gt;=0,D$11&gt;=0,OR(D$12=0,D$12=1)),D$7+3*D$8,"n.a.")</x:f>
        <x:v>n.a.</x:v>
      </x:c>
      <x:c r="G36" s="89" t="str">
        <x:f>IF(AND(AND(COUNT(E$7:E$12)=6,E$7&gt;=0,E$8&gt;=0,E$9&gt;-1,E$10&gt;=0,E$11&gt;=0,OR(E$12=0,E$12=1)),ISNUMBER(G35)),G35*((1+E$9)^(1/12)+E$10/12*E$12-E$11/12)+E$8,"n.a.")</x:f>
        <x:v>n.a.</x:v>
      </x:c>
      <x:c r="H36" s="89" t="str">
        <x:f>IF(AND(AND(COUNT(E$7:E$12)=6,E$7&gt;=0,E$8&gt;=0,E$9&gt;-1,E$10&gt;=0,E$11&gt;=0,OR(E$12=0,E$12=1)),COUNT(H35,G35)=2),H35+G35*E$10/12*(1-E$12),"n.a.")</x:f>
        <x:v>n.a.</x:v>
      </x:c>
      <x:c r="I36" s="89" t="str">
        <x:f>IF(AND(COUNT(E$7:E$12)=6,E$7&gt;=0,E$8&gt;=0,E$9&gt;-1,E$10&gt;=0,E$11&gt;=0,OR(E$12=0,E$12=1)),E$7+3*E$8,"n.a.")</x:f>
        <x:v>n.a.</x:v>
      </x:c>
      <x:c r="J36" s="89" t="str">
        <x:f>IF(AND(AND(COUNT(F$7:F$12)=6,F$7&gt;=0,F$8&gt;=0,F$9&gt;-1,F$10&gt;=0,F$11&gt;=0,OR(F$12=0,F$12=1)),ISNUMBER(J35)),J35*((1+F$9)^(1/12)+F$10/12*F$12-F$11/12)+F$8,"n.a.")</x:f>
        <x:v>n.a.</x:v>
      </x:c>
      <x:c r="K36" s="89" t="str">
        <x:f>IF(AND(AND(COUNT(F$7:F$12)=6,F$7&gt;=0,F$8&gt;=0,F$9&gt;-1,F$10&gt;=0,F$11&gt;=0,OR(F$12=0,F$12=1)),COUNT(K35,J35)=2),K35+J35*F$10/12*(1-F$12),"n.a.")</x:f>
        <x:v>n.a.</x:v>
      </x:c>
      <x:c r="L36" s="89" t="str">
        <x:f>IF(AND(COUNT(F$7:F$12)=6,F$7&gt;=0,F$8&gt;=0,F$9&gt;-1,F$10&gt;=0,F$11&gt;=0,OR(F$12=0,F$12=1)),F$7+3*F$8,"n.a.")</x:f>
        <x:v>n.a.</x:v>
      </x:c>
    </x:row>
    <x:row r="37">
      <x:c r="C37" t="n">
        <x:v>4</x:v>
      </x:c>
      <x:c r="D37" s="89" t="str">
        <x:f>IF(AND(AND(COUNT(D$7:D$12)=6,D$7&gt;=0,D$8&gt;=0,D$9&gt;-1,D$10&gt;=0,D$11&gt;=0,OR(D$12=0,D$12=1)),ISNUMBER(D36)),D36*((1+D$9)^(1/12)+D$10/12*D$12-D$11/12)+D$8,"n.a.")</x:f>
        <x:v>n.a.</x:v>
      </x:c>
      <x:c r="E37" s="89" t="str">
        <x:f>IF(AND(AND(COUNT(D$7:D$12)=6,D$7&gt;=0,D$8&gt;=0,D$9&gt;-1,D$10&gt;=0,D$11&gt;=0,OR(D$12=0,D$12=1)),COUNT(E36,D36)=2),E36+D36*D$10/12*(1-D$12),"n.a.")</x:f>
        <x:v>n.a.</x:v>
      </x:c>
      <x:c r="F37" s="89" t="str">
        <x:f>IF(AND(COUNT(D$7:D$12)=6,D$7&gt;=0,D$8&gt;=0,D$9&gt;-1,D$10&gt;=0,D$11&gt;=0,OR(D$12=0,D$12=1)),D$7+4*D$8,"n.a.")</x:f>
        <x:v>n.a.</x:v>
      </x:c>
      <x:c r="G37" s="89" t="str">
        <x:f>IF(AND(AND(COUNT(E$7:E$12)=6,E$7&gt;=0,E$8&gt;=0,E$9&gt;-1,E$10&gt;=0,E$11&gt;=0,OR(E$12=0,E$12=1)),ISNUMBER(G36)),G36*((1+E$9)^(1/12)+E$10/12*E$12-E$11/12)+E$8,"n.a.")</x:f>
        <x:v>n.a.</x:v>
      </x:c>
      <x:c r="H37" s="89" t="str">
        <x:f>IF(AND(AND(COUNT(E$7:E$12)=6,E$7&gt;=0,E$8&gt;=0,E$9&gt;-1,E$10&gt;=0,E$11&gt;=0,OR(E$12=0,E$12=1)),COUNT(H36,G36)=2),H36+G36*E$10/12*(1-E$12),"n.a.")</x:f>
        <x:v>n.a.</x:v>
      </x:c>
      <x:c r="I37" s="89" t="str">
        <x:f>IF(AND(COUNT(E$7:E$12)=6,E$7&gt;=0,E$8&gt;=0,E$9&gt;-1,E$10&gt;=0,E$11&gt;=0,OR(E$12=0,E$12=1)),E$7+4*E$8,"n.a.")</x:f>
        <x:v>n.a.</x:v>
      </x:c>
      <x:c r="J37" s="89" t="str">
        <x:f>IF(AND(AND(COUNT(F$7:F$12)=6,F$7&gt;=0,F$8&gt;=0,F$9&gt;-1,F$10&gt;=0,F$11&gt;=0,OR(F$12=0,F$12=1)),ISNUMBER(J36)),J36*((1+F$9)^(1/12)+F$10/12*F$12-F$11/12)+F$8,"n.a.")</x:f>
        <x:v>n.a.</x:v>
      </x:c>
      <x:c r="K37" s="89" t="str">
        <x:f>IF(AND(AND(COUNT(F$7:F$12)=6,F$7&gt;=0,F$8&gt;=0,F$9&gt;-1,F$10&gt;=0,F$11&gt;=0,OR(F$12=0,F$12=1)),COUNT(K36,J36)=2),K36+J36*F$10/12*(1-F$12),"n.a.")</x:f>
        <x:v>n.a.</x:v>
      </x:c>
      <x:c r="L37" s="89" t="str">
        <x:f>IF(AND(COUNT(F$7:F$12)=6,F$7&gt;=0,F$8&gt;=0,F$9&gt;-1,F$10&gt;=0,F$11&gt;=0,OR(F$12=0,F$12=1)),F$7+4*F$8,"n.a.")</x:f>
        <x:v>n.a.</x:v>
      </x:c>
    </x:row>
    <x:row r="38">
      <x:c r="C38" t="n">
        <x:v>5</x:v>
      </x:c>
      <x:c r="D38" s="89" t="str">
        <x:f>IF(AND(AND(COUNT(D$7:D$12)=6,D$7&gt;=0,D$8&gt;=0,D$9&gt;-1,D$10&gt;=0,D$11&gt;=0,OR(D$12=0,D$12=1)),ISNUMBER(D37)),D37*((1+D$9)^(1/12)+D$10/12*D$12-D$11/12)+D$8,"n.a.")</x:f>
        <x:v>n.a.</x:v>
      </x:c>
      <x:c r="E38" s="89" t="str">
        <x:f>IF(AND(AND(COUNT(D$7:D$12)=6,D$7&gt;=0,D$8&gt;=0,D$9&gt;-1,D$10&gt;=0,D$11&gt;=0,OR(D$12=0,D$12=1)),COUNT(E37,D37)=2),E37+D37*D$10/12*(1-D$12),"n.a.")</x:f>
        <x:v>n.a.</x:v>
      </x:c>
      <x:c r="F38" s="89" t="str">
        <x:f>IF(AND(COUNT(D$7:D$12)=6,D$7&gt;=0,D$8&gt;=0,D$9&gt;-1,D$10&gt;=0,D$11&gt;=0,OR(D$12=0,D$12=1)),D$7+5*D$8,"n.a.")</x:f>
        <x:v>n.a.</x:v>
      </x:c>
      <x:c r="G38" s="89" t="str">
        <x:f>IF(AND(AND(COUNT(E$7:E$12)=6,E$7&gt;=0,E$8&gt;=0,E$9&gt;-1,E$10&gt;=0,E$11&gt;=0,OR(E$12=0,E$12=1)),ISNUMBER(G37)),G37*((1+E$9)^(1/12)+E$10/12*E$12-E$11/12)+E$8,"n.a.")</x:f>
        <x:v>n.a.</x:v>
      </x:c>
      <x:c r="H38" s="89" t="str">
        <x:f>IF(AND(AND(COUNT(E$7:E$12)=6,E$7&gt;=0,E$8&gt;=0,E$9&gt;-1,E$10&gt;=0,E$11&gt;=0,OR(E$12=0,E$12=1)),COUNT(H37,G37)=2),H37+G37*E$10/12*(1-E$12),"n.a.")</x:f>
        <x:v>n.a.</x:v>
      </x:c>
      <x:c r="I38" s="89" t="str">
        <x:f>IF(AND(COUNT(E$7:E$12)=6,E$7&gt;=0,E$8&gt;=0,E$9&gt;-1,E$10&gt;=0,E$11&gt;=0,OR(E$12=0,E$12=1)),E$7+5*E$8,"n.a.")</x:f>
        <x:v>n.a.</x:v>
      </x:c>
      <x:c r="J38" s="89" t="str">
        <x:f>IF(AND(AND(COUNT(F$7:F$12)=6,F$7&gt;=0,F$8&gt;=0,F$9&gt;-1,F$10&gt;=0,F$11&gt;=0,OR(F$12=0,F$12=1)),ISNUMBER(J37)),J37*((1+F$9)^(1/12)+F$10/12*F$12-F$11/12)+F$8,"n.a.")</x:f>
        <x:v>n.a.</x:v>
      </x:c>
      <x:c r="K38" s="89" t="str">
        <x:f>IF(AND(AND(COUNT(F$7:F$12)=6,F$7&gt;=0,F$8&gt;=0,F$9&gt;-1,F$10&gt;=0,F$11&gt;=0,OR(F$12=0,F$12=1)),COUNT(K37,J37)=2),K37+J37*F$10/12*(1-F$12),"n.a.")</x:f>
        <x:v>n.a.</x:v>
      </x:c>
      <x:c r="L38" s="89" t="str">
        <x:f>IF(AND(COUNT(F$7:F$12)=6,F$7&gt;=0,F$8&gt;=0,F$9&gt;-1,F$10&gt;=0,F$11&gt;=0,OR(F$12=0,F$12=1)),F$7+5*F$8,"n.a.")</x:f>
        <x:v>n.a.</x:v>
      </x:c>
    </x:row>
    <x:row r="39">
      <x:c r="C39" t="n">
        <x:v>6</x:v>
      </x:c>
      <x:c r="D39" s="89" t="str">
        <x:f>IF(AND(AND(COUNT(D$7:D$12)=6,D$7&gt;=0,D$8&gt;=0,D$9&gt;-1,D$10&gt;=0,D$11&gt;=0,OR(D$12=0,D$12=1)),ISNUMBER(D38)),D38*((1+D$9)^(1/12)+D$10/12*D$12-D$11/12)+D$8,"n.a.")</x:f>
        <x:v>n.a.</x:v>
      </x:c>
      <x:c r="E39" s="89" t="str">
        <x:f>IF(AND(AND(COUNT(D$7:D$12)=6,D$7&gt;=0,D$8&gt;=0,D$9&gt;-1,D$10&gt;=0,D$11&gt;=0,OR(D$12=0,D$12=1)),COUNT(E38,D38)=2),E38+D38*D$10/12*(1-D$12),"n.a.")</x:f>
        <x:v>n.a.</x:v>
      </x:c>
      <x:c r="F39" s="89" t="str">
        <x:f>IF(AND(COUNT(D$7:D$12)=6,D$7&gt;=0,D$8&gt;=0,D$9&gt;-1,D$10&gt;=0,D$11&gt;=0,OR(D$12=0,D$12=1)),D$7+6*D$8,"n.a.")</x:f>
        <x:v>n.a.</x:v>
      </x:c>
      <x:c r="G39" s="89" t="str">
        <x:f>IF(AND(AND(COUNT(E$7:E$12)=6,E$7&gt;=0,E$8&gt;=0,E$9&gt;-1,E$10&gt;=0,E$11&gt;=0,OR(E$12=0,E$12=1)),ISNUMBER(G38)),G38*((1+E$9)^(1/12)+E$10/12*E$12-E$11/12)+E$8,"n.a.")</x:f>
        <x:v>n.a.</x:v>
      </x:c>
      <x:c r="H39" s="89" t="str">
        <x:f>IF(AND(AND(COUNT(E$7:E$12)=6,E$7&gt;=0,E$8&gt;=0,E$9&gt;-1,E$10&gt;=0,E$11&gt;=0,OR(E$12=0,E$12=1)),COUNT(H38,G38)=2),H38+G38*E$10/12*(1-E$12),"n.a.")</x:f>
        <x:v>n.a.</x:v>
      </x:c>
      <x:c r="I39" s="89" t="str">
        <x:f>IF(AND(COUNT(E$7:E$12)=6,E$7&gt;=0,E$8&gt;=0,E$9&gt;-1,E$10&gt;=0,E$11&gt;=0,OR(E$12=0,E$12=1)),E$7+6*E$8,"n.a.")</x:f>
        <x:v>n.a.</x:v>
      </x:c>
      <x:c r="J39" s="89" t="str">
        <x:f>IF(AND(AND(COUNT(F$7:F$12)=6,F$7&gt;=0,F$8&gt;=0,F$9&gt;-1,F$10&gt;=0,F$11&gt;=0,OR(F$12=0,F$12=1)),ISNUMBER(J38)),J38*((1+F$9)^(1/12)+F$10/12*F$12-F$11/12)+F$8,"n.a.")</x:f>
        <x:v>n.a.</x:v>
      </x:c>
      <x:c r="K39" s="89" t="str">
        <x:f>IF(AND(AND(COUNT(F$7:F$12)=6,F$7&gt;=0,F$8&gt;=0,F$9&gt;-1,F$10&gt;=0,F$11&gt;=0,OR(F$12=0,F$12=1)),COUNT(K38,J38)=2),K38+J38*F$10/12*(1-F$12),"n.a.")</x:f>
        <x:v>n.a.</x:v>
      </x:c>
      <x:c r="L39" s="89" t="str">
        <x:f>IF(AND(COUNT(F$7:F$12)=6,F$7&gt;=0,F$8&gt;=0,F$9&gt;-1,F$10&gt;=0,F$11&gt;=0,OR(F$12=0,F$12=1)),F$7+6*F$8,"n.a.")</x:f>
        <x:v>n.a.</x:v>
      </x:c>
    </x:row>
    <x:row r="40">
      <x:c r="C40" t="n">
        <x:v>7</x:v>
      </x:c>
      <x:c r="D40" s="89" t="str">
        <x:f>IF(AND(AND(COUNT(D$7:D$12)=6,D$7&gt;=0,D$8&gt;=0,D$9&gt;-1,D$10&gt;=0,D$11&gt;=0,OR(D$12=0,D$12=1)),ISNUMBER(D39)),D39*((1+D$9)^(1/12)+D$10/12*D$12-D$11/12)+D$8,"n.a.")</x:f>
        <x:v>n.a.</x:v>
      </x:c>
      <x:c r="E40" s="89" t="str">
        <x:f>IF(AND(AND(COUNT(D$7:D$12)=6,D$7&gt;=0,D$8&gt;=0,D$9&gt;-1,D$10&gt;=0,D$11&gt;=0,OR(D$12=0,D$12=1)),COUNT(E39,D39)=2),E39+D39*D$10/12*(1-D$12),"n.a.")</x:f>
        <x:v>n.a.</x:v>
      </x:c>
      <x:c r="F40" s="89" t="str">
        <x:f>IF(AND(COUNT(D$7:D$12)=6,D$7&gt;=0,D$8&gt;=0,D$9&gt;-1,D$10&gt;=0,D$11&gt;=0,OR(D$12=0,D$12=1)),D$7+7*D$8,"n.a.")</x:f>
        <x:v>n.a.</x:v>
      </x:c>
      <x:c r="G40" s="89" t="str">
        <x:f>IF(AND(AND(COUNT(E$7:E$12)=6,E$7&gt;=0,E$8&gt;=0,E$9&gt;-1,E$10&gt;=0,E$11&gt;=0,OR(E$12=0,E$12=1)),ISNUMBER(G39)),G39*((1+E$9)^(1/12)+E$10/12*E$12-E$11/12)+E$8,"n.a.")</x:f>
        <x:v>n.a.</x:v>
      </x:c>
      <x:c r="H40" s="89" t="str">
        <x:f>IF(AND(AND(COUNT(E$7:E$12)=6,E$7&gt;=0,E$8&gt;=0,E$9&gt;-1,E$10&gt;=0,E$11&gt;=0,OR(E$12=0,E$12=1)),COUNT(H39,G39)=2),H39+G39*E$10/12*(1-E$12),"n.a.")</x:f>
        <x:v>n.a.</x:v>
      </x:c>
      <x:c r="I40" s="89" t="str">
        <x:f>IF(AND(COUNT(E$7:E$12)=6,E$7&gt;=0,E$8&gt;=0,E$9&gt;-1,E$10&gt;=0,E$11&gt;=0,OR(E$12=0,E$12=1)),E$7+7*E$8,"n.a.")</x:f>
        <x:v>n.a.</x:v>
      </x:c>
      <x:c r="J40" s="89" t="str">
        <x:f>IF(AND(AND(COUNT(F$7:F$12)=6,F$7&gt;=0,F$8&gt;=0,F$9&gt;-1,F$10&gt;=0,F$11&gt;=0,OR(F$12=0,F$12=1)),ISNUMBER(J39)),J39*((1+F$9)^(1/12)+F$10/12*F$12-F$11/12)+F$8,"n.a.")</x:f>
        <x:v>n.a.</x:v>
      </x:c>
      <x:c r="K40" s="89" t="str">
        <x:f>IF(AND(AND(COUNT(F$7:F$12)=6,F$7&gt;=0,F$8&gt;=0,F$9&gt;-1,F$10&gt;=0,F$11&gt;=0,OR(F$12=0,F$12=1)),COUNT(K39,J39)=2),K39+J39*F$10/12*(1-F$12),"n.a.")</x:f>
        <x:v>n.a.</x:v>
      </x:c>
      <x:c r="L40" s="89" t="str">
        <x:f>IF(AND(COUNT(F$7:F$12)=6,F$7&gt;=0,F$8&gt;=0,F$9&gt;-1,F$10&gt;=0,F$11&gt;=0,OR(F$12=0,F$12=1)),F$7+7*F$8,"n.a.")</x:f>
        <x:v>n.a.</x:v>
      </x:c>
    </x:row>
    <x:row r="41">
      <x:c r="C41" t="n">
        <x:v>8</x:v>
      </x:c>
      <x:c r="D41" s="89" t="str">
        <x:f>IF(AND(AND(COUNT(D$7:D$12)=6,D$7&gt;=0,D$8&gt;=0,D$9&gt;-1,D$10&gt;=0,D$11&gt;=0,OR(D$12=0,D$12=1)),ISNUMBER(D40)),D40*((1+D$9)^(1/12)+D$10/12*D$12-D$11/12)+D$8,"n.a.")</x:f>
        <x:v>n.a.</x:v>
      </x:c>
      <x:c r="E41" s="89" t="str">
        <x:f>IF(AND(AND(COUNT(D$7:D$12)=6,D$7&gt;=0,D$8&gt;=0,D$9&gt;-1,D$10&gt;=0,D$11&gt;=0,OR(D$12=0,D$12=1)),COUNT(E40,D40)=2),E40+D40*D$10/12*(1-D$12),"n.a.")</x:f>
        <x:v>n.a.</x:v>
      </x:c>
      <x:c r="F41" s="89" t="str">
        <x:f>IF(AND(COUNT(D$7:D$12)=6,D$7&gt;=0,D$8&gt;=0,D$9&gt;-1,D$10&gt;=0,D$11&gt;=0,OR(D$12=0,D$12=1)),D$7+8*D$8,"n.a.")</x:f>
        <x:v>n.a.</x:v>
      </x:c>
      <x:c r="G41" s="89" t="str">
        <x:f>IF(AND(AND(COUNT(E$7:E$12)=6,E$7&gt;=0,E$8&gt;=0,E$9&gt;-1,E$10&gt;=0,E$11&gt;=0,OR(E$12=0,E$12=1)),ISNUMBER(G40)),G40*((1+E$9)^(1/12)+E$10/12*E$12-E$11/12)+E$8,"n.a.")</x:f>
        <x:v>n.a.</x:v>
      </x:c>
      <x:c r="H41" s="89" t="str">
        <x:f>IF(AND(AND(COUNT(E$7:E$12)=6,E$7&gt;=0,E$8&gt;=0,E$9&gt;-1,E$10&gt;=0,E$11&gt;=0,OR(E$12=0,E$12=1)),COUNT(H40,G40)=2),H40+G40*E$10/12*(1-E$12),"n.a.")</x:f>
        <x:v>n.a.</x:v>
      </x:c>
      <x:c r="I41" s="89" t="str">
        <x:f>IF(AND(COUNT(E$7:E$12)=6,E$7&gt;=0,E$8&gt;=0,E$9&gt;-1,E$10&gt;=0,E$11&gt;=0,OR(E$12=0,E$12=1)),E$7+8*E$8,"n.a.")</x:f>
        <x:v>n.a.</x:v>
      </x:c>
      <x:c r="J41" s="89" t="str">
        <x:f>IF(AND(AND(COUNT(F$7:F$12)=6,F$7&gt;=0,F$8&gt;=0,F$9&gt;-1,F$10&gt;=0,F$11&gt;=0,OR(F$12=0,F$12=1)),ISNUMBER(J40)),J40*((1+F$9)^(1/12)+F$10/12*F$12-F$11/12)+F$8,"n.a.")</x:f>
        <x:v>n.a.</x:v>
      </x:c>
      <x:c r="K41" s="89" t="str">
        <x:f>IF(AND(AND(COUNT(F$7:F$12)=6,F$7&gt;=0,F$8&gt;=0,F$9&gt;-1,F$10&gt;=0,F$11&gt;=0,OR(F$12=0,F$12=1)),COUNT(K40,J40)=2),K40+J40*F$10/12*(1-F$12),"n.a.")</x:f>
        <x:v>n.a.</x:v>
      </x:c>
      <x:c r="L41" s="89" t="str">
        <x:f>IF(AND(COUNT(F$7:F$12)=6,F$7&gt;=0,F$8&gt;=0,F$9&gt;-1,F$10&gt;=0,F$11&gt;=0,OR(F$12=0,F$12=1)),F$7+8*F$8,"n.a.")</x:f>
        <x:v>n.a.</x:v>
      </x:c>
    </x:row>
    <x:row r="42">
      <x:c r="C42" t="n">
        <x:v>9</x:v>
      </x:c>
      <x:c r="D42" s="89" t="str">
        <x:f>IF(AND(AND(COUNT(D$7:D$12)=6,D$7&gt;=0,D$8&gt;=0,D$9&gt;-1,D$10&gt;=0,D$11&gt;=0,OR(D$12=0,D$12=1)),ISNUMBER(D41)),D41*((1+D$9)^(1/12)+D$10/12*D$12-D$11/12)+D$8,"n.a.")</x:f>
        <x:v>n.a.</x:v>
      </x:c>
      <x:c r="E42" s="89" t="str">
        <x:f>IF(AND(AND(COUNT(D$7:D$12)=6,D$7&gt;=0,D$8&gt;=0,D$9&gt;-1,D$10&gt;=0,D$11&gt;=0,OR(D$12=0,D$12=1)),COUNT(E41,D41)=2),E41+D41*D$10/12*(1-D$12),"n.a.")</x:f>
        <x:v>n.a.</x:v>
      </x:c>
      <x:c r="F42" s="89" t="str">
        <x:f>IF(AND(COUNT(D$7:D$12)=6,D$7&gt;=0,D$8&gt;=0,D$9&gt;-1,D$10&gt;=0,D$11&gt;=0,OR(D$12=0,D$12=1)),D$7+9*D$8,"n.a.")</x:f>
        <x:v>n.a.</x:v>
      </x:c>
      <x:c r="G42" s="89" t="str">
        <x:f>IF(AND(AND(COUNT(E$7:E$12)=6,E$7&gt;=0,E$8&gt;=0,E$9&gt;-1,E$10&gt;=0,E$11&gt;=0,OR(E$12=0,E$12=1)),ISNUMBER(G41)),G41*((1+E$9)^(1/12)+E$10/12*E$12-E$11/12)+E$8,"n.a.")</x:f>
        <x:v>n.a.</x:v>
      </x:c>
      <x:c r="H42" s="89" t="str">
        <x:f>IF(AND(AND(COUNT(E$7:E$12)=6,E$7&gt;=0,E$8&gt;=0,E$9&gt;-1,E$10&gt;=0,E$11&gt;=0,OR(E$12=0,E$12=1)),COUNT(H41,G41)=2),H41+G41*E$10/12*(1-E$12),"n.a.")</x:f>
        <x:v>n.a.</x:v>
      </x:c>
      <x:c r="I42" s="89" t="str">
        <x:f>IF(AND(COUNT(E$7:E$12)=6,E$7&gt;=0,E$8&gt;=0,E$9&gt;-1,E$10&gt;=0,E$11&gt;=0,OR(E$12=0,E$12=1)),E$7+9*E$8,"n.a.")</x:f>
        <x:v>n.a.</x:v>
      </x:c>
      <x:c r="J42" s="89" t="str">
        <x:f>IF(AND(AND(COUNT(F$7:F$12)=6,F$7&gt;=0,F$8&gt;=0,F$9&gt;-1,F$10&gt;=0,F$11&gt;=0,OR(F$12=0,F$12=1)),ISNUMBER(J41)),J41*((1+F$9)^(1/12)+F$10/12*F$12-F$11/12)+F$8,"n.a.")</x:f>
        <x:v>n.a.</x:v>
      </x:c>
      <x:c r="K42" s="89" t="str">
        <x:f>IF(AND(AND(COUNT(F$7:F$12)=6,F$7&gt;=0,F$8&gt;=0,F$9&gt;-1,F$10&gt;=0,F$11&gt;=0,OR(F$12=0,F$12=1)),COUNT(K41,J41)=2),K41+J41*F$10/12*(1-F$12),"n.a.")</x:f>
        <x:v>n.a.</x:v>
      </x:c>
      <x:c r="L42" s="89" t="str">
        <x:f>IF(AND(COUNT(F$7:F$12)=6,F$7&gt;=0,F$8&gt;=0,F$9&gt;-1,F$10&gt;=0,F$11&gt;=0,OR(F$12=0,F$12=1)),F$7+9*F$8,"n.a.")</x:f>
        <x:v>n.a.</x:v>
      </x:c>
    </x:row>
    <x:row r="43">
      <x:c r="C43" t="n">
        <x:v>10</x:v>
      </x:c>
      <x:c r="D43" s="89" t="str">
        <x:f>IF(AND(AND(COUNT(D$7:D$12)=6,D$7&gt;=0,D$8&gt;=0,D$9&gt;-1,D$10&gt;=0,D$11&gt;=0,OR(D$12=0,D$12=1)),ISNUMBER(D42)),D42*((1+D$9)^(1/12)+D$10/12*D$12-D$11/12)+D$8,"n.a.")</x:f>
        <x:v>n.a.</x:v>
      </x:c>
      <x:c r="E43" s="89" t="str">
        <x:f>IF(AND(AND(COUNT(D$7:D$12)=6,D$7&gt;=0,D$8&gt;=0,D$9&gt;-1,D$10&gt;=0,D$11&gt;=0,OR(D$12=0,D$12=1)),COUNT(E42,D42)=2),E42+D42*D$10/12*(1-D$12),"n.a.")</x:f>
        <x:v>n.a.</x:v>
      </x:c>
      <x:c r="F43" s="89" t="str">
        <x:f>IF(AND(COUNT(D$7:D$12)=6,D$7&gt;=0,D$8&gt;=0,D$9&gt;-1,D$10&gt;=0,D$11&gt;=0,OR(D$12=0,D$12=1)),D$7+10*D$8,"n.a.")</x:f>
        <x:v>n.a.</x:v>
      </x:c>
      <x:c r="G43" s="89" t="str">
        <x:f>IF(AND(AND(COUNT(E$7:E$12)=6,E$7&gt;=0,E$8&gt;=0,E$9&gt;-1,E$10&gt;=0,E$11&gt;=0,OR(E$12=0,E$12=1)),ISNUMBER(G42)),G42*((1+E$9)^(1/12)+E$10/12*E$12-E$11/12)+E$8,"n.a.")</x:f>
        <x:v>n.a.</x:v>
      </x:c>
      <x:c r="H43" s="89" t="str">
        <x:f>IF(AND(AND(COUNT(E$7:E$12)=6,E$7&gt;=0,E$8&gt;=0,E$9&gt;-1,E$10&gt;=0,E$11&gt;=0,OR(E$12=0,E$12=1)),COUNT(H42,G42)=2),H42+G42*E$10/12*(1-E$12),"n.a.")</x:f>
        <x:v>n.a.</x:v>
      </x:c>
      <x:c r="I43" s="89" t="str">
        <x:f>IF(AND(COUNT(E$7:E$12)=6,E$7&gt;=0,E$8&gt;=0,E$9&gt;-1,E$10&gt;=0,E$11&gt;=0,OR(E$12=0,E$12=1)),E$7+10*E$8,"n.a.")</x:f>
        <x:v>n.a.</x:v>
      </x:c>
      <x:c r="J43" s="89" t="str">
        <x:f>IF(AND(AND(COUNT(F$7:F$12)=6,F$7&gt;=0,F$8&gt;=0,F$9&gt;-1,F$10&gt;=0,F$11&gt;=0,OR(F$12=0,F$12=1)),ISNUMBER(J42)),J42*((1+F$9)^(1/12)+F$10/12*F$12-F$11/12)+F$8,"n.a.")</x:f>
        <x:v>n.a.</x:v>
      </x:c>
      <x:c r="K43" s="89" t="str">
        <x:f>IF(AND(AND(COUNT(F$7:F$12)=6,F$7&gt;=0,F$8&gt;=0,F$9&gt;-1,F$10&gt;=0,F$11&gt;=0,OR(F$12=0,F$12=1)),COUNT(K42,J42)=2),K42+J42*F$10/12*(1-F$12),"n.a.")</x:f>
        <x:v>n.a.</x:v>
      </x:c>
      <x:c r="L43" s="89" t="str">
        <x:f>IF(AND(COUNT(F$7:F$12)=6,F$7&gt;=0,F$8&gt;=0,F$9&gt;-1,F$10&gt;=0,F$11&gt;=0,OR(F$12=0,F$12=1)),F$7+10*F$8,"n.a.")</x:f>
        <x:v>n.a.</x:v>
      </x:c>
    </x:row>
    <x:row r="44">
      <x:c r="C44" t="n">
        <x:v>11</x:v>
      </x:c>
      <x:c r="D44" s="89" t="str">
        <x:f>IF(AND(AND(COUNT(D$7:D$12)=6,D$7&gt;=0,D$8&gt;=0,D$9&gt;-1,D$10&gt;=0,D$11&gt;=0,OR(D$12=0,D$12=1)),ISNUMBER(D43)),D43*((1+D$9)^(1/12)+D$10/12*D$12-D$11/12)+D$8,"n.a.")</x:f>
        <x:v>n.a.</x:v>
      </x:c>
      <x:c r="E44" s="89" t="str">
        <x:f>IF(AND(AND(COUNT(D$7:D$12)=6,D$7&gt;=0,D$8&gt;=0,D$9&gt;-1,D$10&gt;=0,D$11&gt;=0,OR(D$12=0,D$12=1)),COUNT(E43,D43)=2),E43+D43*D$10/12*(1-D$12),"n.a.")</x:f>
        <x:v>n.a.</x:v>
      </x:c>
      <x:c r="F44" s="89" t="str">
        <x:f>IF(AND(COUNT(D$7:D$12)=6,D$7&gt;=0,D$8&gt;=0,D$9&gt;-1,D$10&gt;=0,D$11&gt;=0,OR(D$12=0,D$12=1)),D$7+11*D$8,"n.a.")</x:f>
        <x:v>n.a.</x:v>
      </x:c>
      <x:c r="G44" s="89" t="str">
        <x:f>IF(AND(AND(COUNT(E$7:E$12)=6,E$7&gt;=0,E$8&gt;=0,E$9&gt;-1,E$10&gt;=0,E$11&gt;=0,OR(E$12=0,E$12=1)),ISNUMBER(G43)),G43*((1+E$9)^(1/12)+E$10/12*E$12-E$11/12)+E$8,"n.a.")</x:f>
        <x:v>n.a.</x:v>
      </x:c>
      <x:c r="H44" s="89" t="str">
        <x:f>IF(AND(AND(COUNT(E$7:E$12)=6,E$7&gt;=0,E$8&gt;=0,E$9&gt;-1,E$10&gt;=0,E$11&gt;=0,OR(E$12=0,E$12=1)),COUNT(H43,G43)=2),H43+G43*E$10/12*(1-E$12),"n.a.")</x:f>
        <x:v>n.a.</x:v>
      </x:c>
      <x:c r="I44" s="89" t="str">
        <x:f>IF(AND(COUNT(E$7:E$12)=6,E$7&gt;=0,E$8&gt;=0,E$9&gt;-1,E$10&gt;=0,E$11&gt;=0,OR(E$12=0,E$12=1)),E$7+11*E$8,"n.a.")</x:f>
        <x:v>n.a.</x:v>
      </x:c>
      <x:c r="J44" s="89" t="str">
        <x:f>IF(AND(AND(COUNT(F$7:F$12)=6,F$7&gt;=0,F$8&gt;=0,F$9&gt;-1,F$10&gt;=0,F$11&gt;=0,OR(F$12=0,F$12=1)),ISNUMBER(J43)),J43*((1+F$9)^(1/12)+F$10/12*F$12-F$11/12)+F$8,"n.a.")</x:f>
        <x:v>n.a.</x:v>
      </x:c>
      <x:c r="K44" s="89" t="str">
        <x:f>IF(AND(AND(COUNT(F$7:F$12)=6,F$7&gt;=0,F$8&gt;=0,F$9&gt;-1,F$10&gt;=0,F$11&gt;=0,OR(F$12=0,F$12=1)),COUNT(K43,J43)=2),K43+J43*F$10/12*(1-F$12),"n.a.")</x:f>
        <x:v>n.a.</x:v>
      </x:c>
      <x:c r="L44" s="89" t="str">
        <x:f>IF(AND(COUNT(F$7:F$12)=6,F$7&gt;=0,F$8&gt;=0,F$9&gt;-1,F$10&gt;=0,F$11&gt;=0,OR(F$12=0,F$12=1)),F$7+11*F$8,"n.a.")</x:f>
        <x:v>n.a.</x:v>
      </x:c>
    </x:row>
    <x:row r="45">
      <x:c r="C45" t="n">
        <x:v>12</x:v>
      </x:c>
      <x:c r="D45" s="89" t="str">
        <x:f>IF(AND(AND(COUNT(D$7:D$12)=6,D$7&gt;=0,D$8&gt;=0,D$9&gt;-1,D$10&gt;=0,D$11&gt;=0,OR(D$12=0,D$12=1)),ISNUMBER(D44)),D44*((1+D$9)^(1/12)+D$10/12*D$12-D$11/12)+D$8,"n.a.")</x:f>
        <x:v>n.a.</x:v>
      </x:c>
      <x:c r="E45" s="89" t="str">
        <x:f>IF(AND(AND(COUNT(D$7:D$12)=6,D$7&gt;=0,D$8&gt;=0,D$9&gt;-1,D$10&gt;=0,D$11&gt;=0,OR(D$12=0,D$12=1)),COUNT(E44,D44)=2),E44+D44*D$10/12*(1-D$12),"n.a.")</x:f>
        <x:v>n.a.</x:v>
      </x:c>
      <x:c r="F45" s="89" t="str">
        <x:f>IF(AND(COUNT(D$7:D$12)=6,D$7&gt;=0,D$8&gt;=0,D$9&gt;-1,D$10&gt;=0,D$11&gt;=0,OR(D$12=0,D$12=1)),D$7+12*D$8,"n.a.")</x:f>
        <x:v>n.a.</x:v>
      </x:c>
      <x:c r="G45" s="89" t="str">
        <x:f>IF(AND(AND(COUNT(E$7:E$12)=6,E$7&gt;=0,E$8&gt;=0,E$9&gt;-1,E$10&gt;=0,E$11&gt;=0,OR(E$12=0,E$12=1)),ISNUMBER(G44)),G44*((1+E$9)^(1/12)+E$10/12*E$12-E$11/12)+E$8,"n.a.")</x:f>
        <x:v>n.a.</x:v>
      </x:c>
      <x:c r="H45" s="89" t="str">
        <x:f>IF(AND(AND(COUNT(E$7:E$12)=6,E$7&gt;=0,E$8&gt;=0,E$9&gt;-1,E$10&gt;=0,E$11&gt;=0,OR(E$12=0,E$12=1)),COUNT(H44,G44)=2),H44+G44*E$10/12*(1-E$12),"n.a.")</x:f>
        <x:v>n.a.</x:v>
      </x:c>
      <x:c r="I45" s="89" t="str">
        <x:f>IF(AND(COUNT(E$7:E$12)=6,E$7&gt;=0,E$8&gt;=0,E$9&gt;-1,E$10&gt;=0,E$11&gt;=0,OR(E$12=0,E$12=1)),E$7+12*E$8,"n.a.")</x:f>
        <x:v>n.a.</x:v>
      </x:c>
      <x:c r="J45" s="89" t="str">
        <x:f>IF(AND(AND(COUNT(F$7:F$12)=6,F$7&gt;=0,F$8&gt;=0,F$9&gt;-1,F$10&gt;=0,F$11&gt;=0,OR(F$12=0,F$12=1)),ISNUMBER(J44)),J44*((1+F$9)^(1/12)+F$10/12*F$12-F$11/12)+F$8,"n.a.")</x:f>
        <x:v>n.a.</x:v>
      </x:c>
      <x:c r="K45" s="89" t="str">
        <x:f>IF(AND(AND(COUNT(F$7:F$12)=6,F$7&gt;=0,F$8&gt;=0,F$9&gt;-1,F$10&gt;=0,F$11&gt;=0,OR(F$12=0,F$12=1)),COUNT(K44,J44)=2),K44+J44*F$10/12*(1-F$12),"n.a.")</x:f>
        <x:v>n.a.</x:v>
      </x:c>
      <x:c r="L45" s="89" t="str">
        <x:f>IF(AND(COUNT(F$7:F$12)=6,F$7&gt;=0,F$8&gt;=0,F$9&gt;-1,F$10&gt;=0,F$11&gt;=0,OR(F$12=0,F$12=1)),F$7+12*F$8,"n.a.")</x:f>
        <x:v>n.a.</x:v>
      </x:c>
    </x:row>
    <x:row r="46">
      <x:c r="C46" t="n">
        <x:v>13</x:v>
      </x:c>
      <x:c r="D46" s="89" t="str">
        <x:f>IF(AND(AND(COUNT(D$7:D$12)=6,D$7&gt;=0,D$8&gt;=0,D$9&gt;-1,D$10&gt;=0,D$11&gt;=0,OR(D$12=0,D$12=1)),ISNUMBER(D45)),D45*((1+D$9)^(1/12)+D$10/12*D$12-D$11/12)+D$8,"n.a.")</x:f>
        <x:v>n.a.</x:v>
      </x:c>
      <x:c r="E46" s="89" t="str">
        <x:f>IF(AND(AND(COUNT(D$7:D$12)=6,D$7&gt;=0,D$8&gt;=0,D$9&gt;-1,D$10&gt;=0,D$11&gt;=0,OR(D$12=0,D$12=1)),COUNT(E45,D45)=2),E45+D45*D$10/12*(1-D$12),"n.a.")</x:f>
        <x:v>n.a.</x:v>
      </x:c>
      <x:c r="F46" s="89" t="str">
        <x:f>IF(AND(COUNT(D$7:D$12)=6,D$7&gt;=0,D$8&gt;=0,D$9&gt;-1,D$10&gt;=0,D$11&gt;=0,OR(D$12=0,D$12=1)),D$7+13*D$8,"n.a.")</x:f>
        <x:v>n.a.</x:v>
      </x:c>
      <x:c r="G46" s="89" t="str">
        <x:f>IF(AND(AND(COUNT(E$7:E$12)=6,E$7&gt;=0,E$8&gt;=0,E$9&gt;-1,E$10&gt;=0,E$11&gt;=0,OR(E$12=0,E$12=1)),ISNUMBER(G45)),G45*((1+E$9)^(1/12)+E$10/12*E$12-E$11/12)+E$8,"n.a.")</x:f>
        <x:v>n.a.</x:v>
      </x:c>
      <x:c r="H46" s="89" t="str">
        <x:f>IF(AND(AND(COUNT(E$7:E$12)=6,E$7&gt;=0,E$8&gt;=0,E$9&gt;-1,E$10&gt;=0,E$11&gt;=0,OR(E$12=0,E$12=1)),COUNT(H45,G45)=2),H45+G45*E$10/12*(1-E$12),"n.a.")</x:f>
        <x:v>n.a.</x:v>
      </x:c>
      <x:c r="I46" s="89" t="str">
        <x:f>IF(AND(COUNT(E$7:E$12)=6,E$7&gt;=0,E$8&gt;=0,E$9&gt;-1,E$10&gt;=0,E$11&gt;=0,OR(E$12=0,E$12=1)),E$7+13*E$8,"n.a.")</x:f>
        <x:v>n.a.</x:v>
      </x:c>
      <x:c r="J46" s="89" t="str">
        <x:f>IF(AND(AND(COUNT(F$7:F$12)=6,F$7&gt;=0,F$8&gt;=0,F$9&gt;-1,F$10&gt;=0,F$11&gt;=0,OR(F$12=0,F$12=1)),ISNUMBER(J45)),J45*((1+F$9)^(1/12)+F$10/12*F$12-F$11/12)+F$8,"n.a.")</x:f>
        <x:v>n.a.</x:v>
      </x:c>
      <x:c r="K46" s="89" t="str">
        <x:f>IF(AND(AND(COUNT(F$7:F$12)=6,F$7&gt;=0,F$8&gt;=0,F$9&gt;-1,F$10&gt;=0,F$11&gt;=0,OR(F$12=0,F$12=1)),COUNT(K45,J45)=2),K45+J45*F$10/12*(1-F$12),"n.a.")</x:f>
        <x:v>n.a.</x:v>
      </x:c>
      <x:c r="L46" s="89" t="str">
        <x:f>IF(AND(COUNT(F$7:F$12)=6,F$7&gt;=0,F$8&gt;=0,F$9&gt;-1,F$10&gt;=0,F$11&gt;=0,OR(F$12=0,F$12=1)),F$7+13*F$8,"n.a.")</x:f>
        <x:v>n.a.</x:v>
      </x:c>
    </x:row>
    <x:row r="47">
      <x:c r="C47" t="n">
        <x:v>14</x:v>
      </x:c>
      <x:c r="D47" s="89" t="str">
        <x:f>IF(AND(AND(COUNT(D$7:D$12)=6,D$7&gt;=0,D$8&gt;=0,D$9&gt;-1,D$10&gt;=0,D$11&gt;=0,OR(D$12=0,D$12=1)),ISNUMBER(D46)),D46*((1+D$9)^(1/12)+D$10/12*D$12-D$11/12)+D$8,"n.a.")</x:f>
        <x:v>n.a.</x:v>
      </x:c>
      <x:c r="E47" s="89" t="str">
        <x:f>IF(AND(AND(COUNT(D$7:D$12)=6,D$7&gt;=0,D$8&gt;=0,D$9&gt;-1,D$10&gt;=0,D$11&gt;=0,OR(D$12=0,D$12=1)),COUNT(E46,D46)=2),E46+D46*D$10/12*(1-D$12),"n.a.")</x:f>
        <x:v>n.a.</x:v>
      </x:c>
      <x:c r="F47" s="89" t="str">
        <x:f>IF(AND(COUNT(D$7:D$12)=6,D$7&gt;=0,D$8&gt;=0,D$9&gt;-1,D$10&gt;=0,D$11&gt;=0,OR(D$12=0,D$12=1)),D$7+14*D$8,"n.a.")</x:f>
        <x:v>n.a.</x:v>
      </x:c>
      <x:c r="G47" s="89" t="str">
        <x:f>IF(AND(AND(COUNT(E$7:E$12)=6,E$7&gt;=0,E$8&gt;=0,E$9&gt;-1,E$10&gt;=0,E$11&gt;=0,OR(E$12=0,E$12=1)),ISNUMBER(G46)),G46*((1+E$9)^(1/12)+E$10/12*E$12-E$11/12)+E$8,"n.a.")</x:f>
        <x:v>n.a.</x:v>
      </x:c>
      <x:c r="H47" s="89" t="str">
        <x:f>IF(AND(AND(COUNT(E$7:E$12)=6,E$7&gt;=0,E$8&gt;=0,E$9&gt;-1,E$10&gt;=0,E$11&gt;=0,OR(E$12=0,E$12=1)),COUNT(H46,G46)=2),H46+G46*E$10/12*(1-E$12),"n.a.")</x:f>
        <x:v>n.a.</x:v>
      </x:c>
      <x:c r="I47" s="89" t="str">
        <x:f>IF(AND(COUNT(E$7:E$12)=6,E$7&gt;=0,E$8&gt;=0,E$9&gt;-1,E$10&gt;=0,E$11&gt;=0,OR(E$12=0,E$12=1)),E$7+14*E$8,"n.a.")</x:f>
        <x:v>n.a.</x:v>
      </x:c>
      <x:c r="J47" s="89" t="str">
        <x:f>IF(AND(AND(COUNT(F$7:F$12)=6,F$7&gt;=0,F$8&gt;=0,F$9&gt;-1,F$10&gt;=0,F$11&gt;=0,OR(F$12=0,F$12=1)),ISNUMBER(J46)),J46*((1+F$9)^(1/12)+F$10/12*F$12-F$11/12)+F$8,"n.a.")</x:f>
        <x:v>n.a.</x:v>
      </x:c>
      <x:c r="K47" s="89" t="str">
        <x:f>IF(AND(AND(COUNT(F$7:F$12)=6,F$7&gt;=0,F$8&gt;=0,F$9&gt;-1,F$10&gt;=0,F$11&gt;=0,OR(F$12=0,F$12=1)),COUNT(K46,J46)=2),K46+J46*F$10/12*(1-F$12),"n.a.")</x:f>
        <x:v>n.a.</x:v>
      </x:c>
      <x:c r="L47" s="89" t="str">
        <x:f>IF(AND(COUNT(F$7:F$12)=6,F$7&gt;=0,F$8&gt;=0,F$9&gt;-1,F$10&gt;=0,F$11&gt;=0,OR(F$12=0,F$12=1)),F$7+14*F$8,"n.a.")</x:f>
        <x:v>n.a.</x:v>
      </x:c>
    </x:row>
    <x:row r="48">
      <x:c r="C48" t="n">
        <x:v>15</x:v>
      </x:c>
      <x:c r="D48" s="89" t="str">
        <x:f>IF(AND(AND(COUNT(D$7:D$12)=6,D$7&gt;=0,D$8&gt;=0,D$9&gt;-1,D$10&gt;=0,D$11&gt;=0,OR(D$12=0,D$12=1)),ISNUMBER(D47)),D47*((1+D$9)^(1/12)+D$10/12*D$12-D$11/12)+D$8,"n.a.")</x:f>
        <x:v>n.a.</x:v>
      </x:c>
      <x:c r="E48" s="89" t="str">
        <x:f>IF(AND(AND(COUNT(D$7:D$12)=6,D$7&gt;=0,D$8&gt;=0,D$9&gt;-1,D$10&gt;=0,D$11&gt;=0,OR(D$12=0,D$12=1)),COUNT(E47,D47)=2),E47+D47*D$10/12*(1-D$12),"n.a.")</x:f>
        <x:v>n.a.</x:v>
      </x:c>
      <x:c r="F48" s="89" t="str">
        <x:f>IF(AND(COUNT(D$7:D$12)=6,D$7&gt;=0,D$8&gt;=0,D$9&gt;-1,D$10&gt;=0,D$11&gt;=0,OR(D$12=0,D$12=1)),D$7+15*D$8,"n.a.")</x:f>
        <x:v>n.a.</x:v>
      </x:c>
      <x:c r="G48" s="89" t="str">
        <x:f>IF(AND(AND(COUNT(E$7:E$12)=6,E$7&gt;=0,E$8&gt;=0,E$9&gt;-1,E$10&gt;=0,E$11&gt;=0,OR(E$12=0,E$12=1)),ISNUMBER(G47)),G47*((1+E$9)^(1/12)+E$10/12*E$12-E$11/12)+E$8,"n.a.")</x:f>
        <x:v>n.a.</x:v>
      </x:c>
      <x:c r="H48" s="89" t="str">
        <x:f>IF(AND(AND(COUNT(E$7:E$12)=6,E$7&gt;=0,E$8&gt;=0,E$9&gt;-1,E$10&gt;=0,E$11&gt;=0,OR(E$12=0,E$12=1)),COUNT(H47,G47)=2),H47+G47*E$10/12*(1-E$12),"n.a.")</x:f>
        <x:v>n.a.</x:v>
      </x:c>
      <x:c r="I48" s="89" t="str">
        <x:f>IF(AND(COUNT(E$7:E$12)=6,E$7&gt;=0,E$8&gt;=0,E$9&gt;-1,E$10&gt;=0,E$11&gt;=0,OR(E$12=0,E$12=1)),E$7+15*E$8,"n.a.")</x:f>
        <x:v>n.a.</x:v>
      </x:c>
      <x:c r="J48" s="89" t="str">
        <x:f>IF(AND(AND(COUNT(F$7:F$12)=6,F$7&gt;=0,F$8&gt;=0,F$9&gt;-1,F$10&gt;=0,F$11&gt;=0,OR(F$12=0,F$12=1)),ISNUMBER(J47)),J47*((1+F$9)^(1/12)+F$10/12*F$12-F$11/12)+F$8,"n.a.")</x:f>
        <x:v>n.a.</x:v>
      </x:c>
      <x:c r="K48" s="89" t="str">
        <x:f>IF(AND(AND(COUNT(F$7:F$12)=6,F$7&gt;=0,F$8&gt;=0,F$9&gt;-1,F$10&gt;=0,F$11&gt;=0,OR(F$12=0,F$12=1)),COUNT(K47,J47)=2),K47+J47*F$10/12*(1-F$12),"n.a.")</x:f>
        <x:v>n.a.</x:v>
      </x:c>
      <x:c r="L48" s="89" t="str">
        <x:f>IF(AND(COUNT(F$7:F$12)=6,F$7&gt;=0,F$8&gt;=0,F$9&gt;-1,F$10&gt;=0,F$11&gt;=0,OR(F$12=0,F$12=1)),F$7+15*F$8,"n.a.")</x:f>
        <x:v>n.a.</x:v>
      </x:c>
    </x:row>
    <x:row r="49">
      <x:c r="C49" t="n">
        <x:v>16</x:v>
      </x:c>
      <x:c r="D49" s="89" t="str">
        <x:f>IF(AND(AND(COUNT(D$7:D$12)=6,D$7&gt;=0,D$8&gt;=0,D$9&gt;-1,D$10&gt;=0,D$11&gt;=0,OR(D$12=0,D$12=1)),ISNUMBER(D48)),D48*((1+D$9)^(1/12)+D$10/12*D$12-D$11/12)+D$8,"n.a.")</x:f>
        <x:v>n.a.</x:v>
      </x:c>
      <x:c r="E49" s="89" t="str">
        <x:f>IF(AND(AND(COUNT(D$7:D$12)=6,D$7&gt;=0,D$8&gt;=0,D$9&gt;-1,D$10&gt;=0,D$11&gt;=0,OR(D$12=0,D$12=1)),COUNT(E48,D48)=2),E48+D48*D$10/12*(1-D$12),"n.a.")</x:f>
        <x:v>n.a.</x:v>
      </x:c>
      <x:c r="F49" s="89" t="str">
        <x:f>IF(AND(COUNT(D$7:D$12)=6,D$7&gt;=0,D$8&gt;=0,D$9&gt;-1,D$10&gt;=0,D$11&gt;=0,OR(D$12=0,D$12=1)),D$7+16*D$8,"n.a.")</x:f>
        <x:v>n.a.</x:v>
      </x:c>
      <x:c r="G49" s="89" t="str">
        <x:f>IF(AND(AND(COUNT(E$7:E$12)=6,E$7&gt;=0,E$8&gt;=0,E$9&gt;-1,E$10&gt;=0,E$11&gt;=0,OR(E$12=0,E$12=1)),ISNUMBER(G48)),G48*((1+E$9)^(1/12)+E$10/12*E$12-E$11/12)+E$8,"n.a.")</x:f>
        <x:v>n.a.</x:v>
      </x:c>
      <x:c r="H49" s="89" t="str">
        <x:f>IF(AND(AND(COUNT(E$7:E$12)=6,E$7&gt;=0,E$8&gt;=0,E$9&gt;-1,E$10&gt;=0,E$11&gt;=0,OR(E$12=0,E$12=1)),COUNT(H48,G48)=2),H48+G48*E$10/12*(1-E$12),"n.a.")</x:f>
        <x:v>n.a.</x:v>
      </x:c>
      <x:c r="I49" s="89" t="str">
        <x:f>IF(AND(COUNT(E$7:E$12)=6,E$7&gt;=0,E$8&gt;=0,E$9&gt;-1,E$10&gt;=0,E$11&gt;=0,OR(E$12=0,E$12=1)),E$7+16*E$8,"n.a.")</x:f>
        <x:v>n.a.</x:v>
      </x:c>
      <x:c r="J49" s="89" t="str">
        <x:f>IF(AND(AND(COUNT(F$7:F$12)=6,F$7&gt;=0,F$8&gt;=0,F$9&gt;-1,F$10&gt;=0,F$11&gt;=0,OR(F$12=0,F$12=1)),ISNUMBER(J48)),J48*((1+F$9)^(1/12)+F$10/12*F$12-F$11/12)+F$8,"n.a.")</x:f>
        <x:v>n.a.</x:v>
      </x:c>
      <x:c r="K49" s="89" t="str">
        <x:f>IF(AND(AND(COUNT(F$7:F$12)=6,F$7&gt;=0,F$8&gt;=0,F$9&gt;-1,F$10&gt;=0,F$11&gt;=0,OR(F$12=0,F$12=1)),COUNT(K48,J48)=2),K48+J48*F$10/12*(1-F$12),"n.a.")</x:f>
        <x:v>n.a.</x:v>
      </x:c>
      <x:c r="L49" s="89" t="str">
        <x:f>IF(AND(COUNT(F$7:F$12)=6,F$7&gt;=0,F$8&gt;=0,F$9&gt;-1,F$10&gt;=0,F$11&gt;=0,OR(F$12=0,F$12=1)),F$7+16*F$8,"n.a.")</x:f>
        <x:v>n.a.</x:v>
      </x:c>
    </x:row>
    <x:row r="50">
      <x:c r="C50" t="n">
        <x:v>17</x:v>
      </x:c>
      <x:c r="D50" s="89" t="str">
        <x:f>IF(AND(AND(COUNT(D$7:D$12)=6,D$7&gt;=0,D$8&gt;=0,D$9&gt;-1,D$10&gt;=0,D$11&gt;=0,OR(D$12=0,D$12=1)),ISNUMBER(D49)),D49*((1+D$9)^(1/12)+D$10/12*D$12-D$11/12)+D$8,"n.a.")</x:f>
        <x:v>n.a.</x:v>
      </x:c>
      <x:c r="E50" s="89" t="str">
        <x:f>IF(AND(AND(COUNT(D$7:D$12)=6,D$7&gt;=0,D$8&gt;=0,D$9&gt;-1,D$10&gt;=0,D$11&gt;=0,OR(D$12=0,D$12=1)),COUNT(E49,D49)=2),E49+D49*D$10/12*(1-D$12),"n.a.")</x:f>
        <x:v>n.a.</x:v>
      </x:c>
      <x:c r="F50" s="89" t="str">
        <x:f>IF(AND(COUNT(D$7:D$12)=6,D$7&gt;=0,D$8&gt;=0,D$9&gt;-1,D$10&gt;=0,D$11&gt;=0,OR(D$12=0,D$12=1)),D$7+17*D$8,"n.a.")</x:f>
        <x:v>n.a.</x:v>
      </x:c>
      <x:c r="G50" s="89" t="str">
        <x:f>IF(AND(AND(COUNT(E$7:E$12)=6,E$7&gt;=0,E$8&gt;=0,E$9&gt;-1,E$10&gt;=0,E$11&gt;=0,OR(E$12=0,E$12=1)),ISNUMBER(G49)),G49*((1+E$9)^(1/12)+E$10/12*E$12-E$11/12)+E$8,"n.a.")</x:f>
        <x:v>n.a.</x:v>
      </x:c>
      <x:c r="H50" s="89" t="str">
        <x:f>IF(AND(AND(COUNT(E$7:E$12)=6,E$7&gt;=0,E$8&gt;=0,E$9&gt;-1,E$10&gt;=0,E$11&gt;=0,OR(E$12=0,E$12=1)),COUNT(H49,G49)=2),H49+G49*E$10/12*(1-E$12),"n.a.")</x:f>
        <x:v>n.a.</x:v>
      </x:c>
      <x:c r="I50" s="89" t="str">
        <x:f>IF(AND(COUNT(E$7:E$12)=6,E$7&gt;=0,E$8&gt;=0,E$9&gt;-1,E$10&gt;=0,E$11&gt;=0,OR(E$12=0,E$12=1)),E$7+17*E$8,"n.a.")</x:f>
        <x:v>n.a.</x:v>
      </x:c>
      <x:c r="J50" s="89" t="str">
        <x:f>IF(AND(AND(COUNT(F$7:F$12)=6,F$7&gt;=0,F$8&gt;=0,F$9&gt;-1,F$10&gt;=0,F$11&gt;=0,OR(F$12=0,F$12=1)),ISNUMBER(J49)),J49*((1+F$9)^(1/12)+F$10/12*F$12-F$11/12)+F$8,"n.a.")</x:f>
        <x:v>n.a.</x:v>
      </x:c>
      <x:c r="K50" s="89" t="str">
        <x:f>IF(AND(AND(COUNT(F$7:F$12)=6,F$7&gt;=0,F$8&gt;=0,F$9&gt;-1,F$10&gt;=0,F$11&gt;=0,OR(F$12=0,F$12=1)),COUNT(K49,J49)=2),K49+J49*F$10/12*(1-F$12),"n.a.")</x:f>
        <x:v>n.a.</x:v>
      </x:c>
      <x:c r="L50" s="89" t="str">
        <x:f>IF(AND(COUNT(F$7:F$12)=6,F$7&gt;=0,F$8&gt;=0,F$9&gt;-1,F$10&gt;=0,F$11&gt;=0,OR(F$12=0,F$12=1)),F$7+17*F$8,"n.a.")</x:f>
        <x:v>n.a.</x:v>
      </x:c>
    </x:row>
    <x:row r="51">
      <x:c r="C51" t="n">
        <x:v>18</x:v>
      </x:c>
      <x:c r="D51" s="89" t="str">
        <x:f>IF(AND(AND(COUNT(D$7:D$12)=6,D$7&gt;=0,D$8&gt;=0,D$9&gt;-1,D$10&gt;=0,D$11&gt;=0,OR(D$12=0,D$12=1)),ISNUMBER(D50)),D50*((1+D$9)^(1/12)+D$10/12*D$12-D$11/12)+D$8,"n.a.")</x:f>
        <x:v>n.a.</x:v>
      </x:c>
      <x:c r="E51" s="89" t="str">
        <x:f>IF(AND(AND(COUNT(D$7:D$12)=6,D$7&gt;=0,D$8&gt;=0,D$9&gt;-1,D$10&gt;=0,D$11&gt;=0,OR(D$12=0,D$12=1)),COUNT(E50,D50)=2),E50+D50*D$10/12*(1-D$12),"n.a.")</x:f>
        <x:v>n.a.</x:v>
      </x:c>
      <x:c r="F51" s="89" t="str">
        <x:f>IF(AND(COUNT(D$7:D$12)=6,D$7&gt;=0,D$8&gt;=0,D$9&gt;-1,D$10&gt;=0,D$11&gt;=0,OR(D$12=0,D$12=1)),D$7+18*D$8,"n.a.")</x:f>
        <x:v>n.a.</x:v>
      </x:c>
      <x:c r="G51" s="89" t="str">
        <x:f>IF(AND(AND(COUNT(E$7:E$12)=6,E$7&gt;=0,E$8&gt;=0,E$9&gt;-1,E$10&gt;=0,E$11&gt;=0,OR(E$12=0,E$12=1)),ISNUMBER(G50)),G50*((1+E$9)^(1/12)+E$10/12*E$12-E$11/12)+E$8,"n.a.")</x:f>
        <x:v>n.a.</x:v>
      </x:c>
      <x:c r="H51" s="89" t="str">
        <x:f>IF(AND(AND(COUNT(E$7:E$12)=6,E$7&gt;=0,E$8&gt;=0,E$9&gt;-1,E$10&gt;=0,E$11&gt;=0,OR(E$12=0,E$12=1)),COUNT(H50,G50)=2),H50+G50*E$10/12*(1-E$12),"n.a.")</x:f>
        <x:v>n.a.</x:v>
      </x:c>
      <x:c r="I51" s="89" t="str">
        <x:f>IF(AND(COUNT(E$7:E$12)=6,E$7&gt;=0,E$8&gt;=0,E$9&gt;-1,E$10&gt;=0,E$11&gt;=0,OR(E$12=0,E$12=1)),E$7+18*E$8,"n.a.")</x:f>
        <x:v>n.a.</x:v>
      </x:c>
      <x:c r="J51" s="89" t="str">
        <x:f>IF(AND(AND(COUNT(F$7:F$12)=6,F$7&gt;=0,F$8&gt;=0,F$9&gt;-1,F$10&gt;=0,F$11&gt;=0,OR(F$12=0,F$12=1)),ISNUMBER(J50)),J50*((1+F$9)^(1/12)+F$10/12*F$12-F$11/12)+F$8,"n.a.")</x:f>
        <x:v>n.a.</x:v>
      </x:c>
      <x:c r="K51" s="89" t="str">
        <x:f>IF(AND(AND(COUNT(F$7:F$12)=6,F$7&gt;=0,F$8&gt;=0,F$9&gt;-1,F$10&gt;=0,F$11&gt;=0,OR(F$12=0,F$12=1)),COUNT(K50,J50)=2),K50+J50*F$10/12*(1-F$12),"n.a.")</x:f>
        <x:v>n.a.</x:v>
      </x:c>
      <x:c r="L51" s="89" t="str">
        <x:f>IF(AND(COUNT(F$7:F$12)=6,F$7&gt;=0,F$8&gt;=0,F$9&gt;-1,F$10&gt;=0,F$11&gt;=0,OR(F$12=0,F$12=1)),F$7+18*F$8,"n.a.")</x:f>
        <x:v>n.a.</x:v>
      </x:c>
    </x:row>
    <x:row r="52">
      <x:c r="C52" t="n">
        <x:v>19</x:v>
      </x:c>
      <x:c r="D52" s="89" t="str">
        <x:f>IF(AND(AND(COUNT(D$7:D$12)=6,D$7&gt;=0,D$8&gt;=0,D$9&gt;-1,D$10&gt;=0,D$11&gt;=0,OR(D$12=0,D$12=1)),ISNUMBER(D51)),D51*((1+D$9)^(1/12)+D$10/12*D$12-D$11/12)+D$8,"n.a.")</x:f>
        <x:v>n.a.</x:v>
      </x:c>
      <x:c r="E52" s="89" t="str">
        <x:f>IF(AND(AND(COUNT(D$7:D$12)=6,D$7&gt;=0,D$8&gt;=0,D$9&gt;-1,D$10&gt;=0,D$11&gt;=0,OR(D$12=0,D$12=1)),COUNT(E51,D51)=2),E51+D51*D$10/12*(1-D$12),"n.a.")</x:f>
        <x:v>n.a.</x:v>
      </x:c>
      <x:c r="F52" s="89" t="str">
        <x:f>IF(AND(COUNT(D$7:D$12)=6,D$7&gt;=0,D$8&gt;=0,D$9&gt;-1,D$10&gt;=0,D$11&gt;=0,OR(D$12=0,D$12=1)),D$7+19*D$8,"n.a.")</x:f>
        <x:v>n.a.</x:v>
      </x:c>
      <x:c r="G52" s="89" t="str">
        <x:f>IF(AND(AND(COUNT(E$7:E$12)=6,E$7&gt;=0,E$8&gt;=0,E$9&gt;-1,E$10&gt;=0,E$11&gt;=0,OR(E$12=0,E$12=1)),ISNUMBER(G51)),G51*((1+E$9)^(1/12)+E$10/12*E$12-E$11/12)+E$8,"n.a.")</x:f>
        <x:v>n.a.</x:v>
      </x:c>
      <x:c r="H52" s="89" t="str">
        <x:f>IF(AND(AND(COUNT(E$7:E$12)=6,E$7&gt;=0,E$8&gt;=0,E$9&gt;-1,E$10&gt;=0,E$11&gt;=0,OR(E$12=0,E$12=1)),COUNT(H51,G51)=2),H51+G51*E$10/12*(1-E$12),"n.a.")</x:f>
        <x:v>n.a.</x:v>
      </x:c>
      <x:c r="I52" s="89" t="str">
        <x:f>IF(AND(COUNT(E$7:E$12)=6,E$7&gt;=0,E$8&gt;=0,E$9&gt;-1,E$10&gt;=0,E$11&gt;=0,OR(E$12=0,E$12=1)),E$7+19*E$8,"n.a.")</x:f>
        <x:v>n.a.</x:v>
      </x:c>
      <x:c r="J52" s="89" t="str">
        <x:f>IF(AND(AND(COUNT(F$7:F$12)=6,F$7&gt;=0,F$8&gt;=0,F$9&gt;-1,F$10&gt;=0,F$11&gt;=0,OR(F$12=0,F$12=1)),ISNUMBER(J51)),J51*((1+F$9)^(1/12)+F$10/12*F$12-F$11/12)+F$8,"n.a.")</x:f>
        <x:v>n.a.</x:v>
      </x:c>
      <x:c r="K52" s="89" t="str">
        <x:f>IF(AND(AND(COUNT(F$7:F$12)=6,F$7&gt;=0,F$8&gt;=0,F$9&gt;-1,F$10&gt;=0,F$11&gt;=0,OR(F$12=0,F$12=1)),COUNT(K51,J51)=2),K51+J51*F$10/12*(1-F$12),"n.a.")</x:f>
        <x:v>n.a.</x:v>
      </x:c>
      <x:c r="L52" s="89" t="str">
        <x:f>IF(AND(COUNT(F$7:F$12)=6,F$7&gt;=0,F$8&gt;=0,F$9&gt;-1,F$10&gt;=0,F$11&gt;=0,OR(F$12=0,F$12=1)),F$7+19*F$8,"n.a.")</x:f>
        <x:v>n.a.</x:v>
      </x:c>
    </x:row>
    <x:row r="53">
      <x:c r="C53" t="n">
        <x:v>20</x:v>
      </x:c>
      <x:c r="D53" s="89" t="str">
        <x:f>IF(AND(AND(COUNT(D$7:D$12)=6,D$7&gt;=0,D$8&gt;=0,D$9&gt;-1,D$10&gt;=0,D$11&gt;=0,OR(D$12=0,D$12=1)),ISNUMBER(D52)),D52*((1+D$9)^(1/12)+D$10/12*D$12-D$11/12)+D$8,"n.a.")</x:f>
        <x:v>n.a.</x:v>
      </x:c>
      <x:c r="E53" s="89" t="str">
        <x:f>IF(AND(AND(COUNT(D$7:D$12)=6,D$7&gt;=0,D$8&gt;=0,D$9&gt;-1,D$10&gt;=0,D$11&gt;=0,OR(D$12=0,D$12=1)),COUNT(E52,D52)=2),E52+D52*D$10/12*(1-D$12),"n.a.")</x:f>
        <x:v>n.a.</x:v>
      </x:c>
      <x:c r="F53" s="89" t="str">
        <x:f>IF(AND(COUNT(D$7:D$12)=6,D$7&gt;=0,D$8&gt;=0,D$9&gt;-1,D$10&gt;=0,D$11&gt;=0,OR(D$12=0,D$12=1)),D$7+20*D$8,"n.a.")</x:f>
        <x:v>n.a.</x:v>
      </x:c>
      <x:c r="G53" s="89" t="str">
        <x:f>IF(AND(AND(COUNT(E$7:E$12)=6,E$7&gt;=0,E$8&gt;=0,E$9&gt;-1,E$10&gt;=0,E$11&gt;=0,OR(E$12=0,E$12=1)),ISNUMBER(G52)),G52*((1+E$9)^(1/12)+E$10/12*E$12-E$11/12)+E$8,"n.a.")</x:f>
        <x:v>n.a.</x:v>
      </x:c>
      <x:c r="H53" s="89" t="str">
        <x:f>IF(AND(AND(COUNT(E$7:E$12)=6,E$7&gt;=0,E$8&gt;=0,E$9&gt;-1,E$10&gt;=0,E$11&gt;=0,OR(E$12=0,E$12=1)),COUNT(H52,G52)=2),H52+G52*E$10/12*(1-E$12),"n.a.")</x:f>
        <x:v>n.a.</x:v>
      </x:c>
      <x:c r="I53" s="89" t="str">
        <x:f>IF(AND(COUNT(E$7:E$12)=6,E$7&gt;=0,E$8&gt;=0,E$9&gt;-1,E$10&gt;=0,E$11&gt;=0,OR(E$12=0,E$12=1)),E$7+20*E$8,"n.a.")</x:f>
        <x:v>n.a.</x:v>
      </x:c>
      <x:c r="J53" s="89" t="str">
        <x:f>IF(AND(AND(COUNT(F$7:F$12)=6,F$7&gt;=0,F$8&gt;=0,F$9&gt;-1,F$10&gt;=0,F$11&gt;=0,OR(F$12=0,F$12=1)),ISNUMBER(J52)),J52*((1+F$9)^(1/12)+F$10/12*F$12-F$11/12)+F$8,"n.a.")</x:f>
        <x:v>n.a.</x:v>
      </x:c>
      <x:c r="K53" s="89" t="str">
        <x:f>IF(AND(AND(COUNT(F$7:F$12)=6,F$7&gt;=0,F$8&gt;=0,F$9&gt;-1,F$10&gt;=0,F$11&gt;=0,OR(F$12=0,F$12=1)),COUNT(K52,J52)=2),K52+J52*F$10/12*(1-F$12),"n.a.")</x:f>
        <x:v>n.a.</x:v>
      </x:c>
      <x:c r="L53" s="89" t="str">
        <x:f>IF(AND(COUNT(F$7:F$12)=6,F$7&gt;=0,F$8&gt;=0,F$9&gt;-1,F$10&gt;=0,F$11&gt;=0,OR(F$12=0,F$12=1)),F$7+20*F$8,"n.a.")</x:f>
        <x:v>n.a.</x:v>
      </x:c>
    </x:row>
    <x:row r="54">
      <x:c r="C54" t="n">
        <x:v>21</x:v>
      </x:c>
      <x:c r="D54" s="89" t="str">
        <x:f>IF(AND(AND(COUNT(D$7:D$12)=6,D$7&gt;=0,D$8&gt;=0,D$9&gt;-1,D$10&gt;=0,D$11&gt;=0,OR(D$12=0,D$12=1)),ISNUMBER(D53)),D53*((1+D$9)^(1/12)+D$10/12*D$12-D$11/12)+D$8,"n.a.")</x:f>
        <x:v>n.a.</x:v>
      </x:c>
      <x:c r="E54" s="89" t="str">
        <x:f>IF(AND(AND(COUNT(D$7:D$12)=6,D$7&gt;=0,D$8&gt;=0,D$9&gt;-1,D$10&gt;=0,D$11&gt;=0,OR(D$12=0,D$12=1)),COUNT(E53,D53)=2),E53+D53*D$10/12*(1-D$12),"n.a.")</x:f>
        <x:v>n.a.</x:v>
      </x:c>
      <x:c r="F54" s="89" t="str">
        <x:f>IF(AND(COUNT(D$7:D$12)=6,D$7&gt;=0,D$8&gt;=0,D$9&gt;-1,D$10&gt;=0,D$11&gt;=0,OR(D$12=0,D$12=1)),D$7+21*D$8,"n.a.")</x:f>
        <x:v>n.a.</x:v>
      </x:c>
      <x:c r="G54" s="89" t="str">
        <x:f>IF(AND(AND(COUNT(E$7:E$12)=6,E$7&gt;=0,E$8&gt;=0,E$9&gt;-1,E$10&gt;=0,E$11&gt;=0,OR(E$12=0,E$12=1)),ISNUMBER(G53)),G53*((1+E$9)^(1/12)+E$10/12*E$12-E$11/12)+E$8,"n.a.")</x:f>
        <x:v>n.a.</x:v>
      </x:c>
      <x:c r="H54" s="89" t="str">
        <x:f>IF(AND(AND(COUNT(E$7:E$12)=6,E$7&gt;=0,E$8&gt;=0,E$9&gt;-1,E$10&gt;=0,E$11&gt;=0,OR(E$12=0,E$12=1)),COUNT(H53,G53)=2),H53+G53*E$10/12*(1-E$12),"n.a.")</x:f>
        <x:v>n.a.</x:v>
      </x:c>
      <x:c r="I54" s="89" t="str">
        <x:f>IF(AND(COUNT(E$7:E$12)=6,E$7&gt;=0,E$8&gt;=0,E$9&gt;-1,E$10&gt;=0,E$11&gt;=0,OR(E$12=0,E$12=1)),E$7+21*E$8,"n.a.")</x:f>
        <x:v>n.a.</x:v>
      </x:c>
      <x:c r="J54" s="89" t="str">
        <x:f>IF(AND(AND(COUNT(F$7:F$12)=6,F$7&gt;=0,F$8&gt;=0,F$9&gt;-1,F$10&gt;=0,F$11&gt;=0,OR(F$12=0,F$12=1)),ISNUMBER(J53)),J53*((1+F$9)^(1/12)+F$10/12*F$12-F$11/12)+F$8,"n.a.")</x:f>
        <x:v>n.a.</x:v>
      </x:c>
      <x:c r="K54" s="89" t="str">
        <x:f>IF(AND(AND(COUNT(F$7:F$12)=6,F$7&gt;=0,F$8&gt;=0,F$9&gt;-1,F$10&gt;=0,F$11&gt;=0,OR(F$12=0,F$12=1)),COUNT(K53,J53)=2),K53+J53*F$10/12*(1-F$12),"n.a.")</x:f>
        <x:v>n.a.</x:v>
      </x:c>
      <x:c r="L54" s="89" t="str">
        <x:f>IF(AND(COUNT(F$7:F$12)=6,F$7&gt;=0,F$8&gt;=0,F$9&gt;-1,F$10&gt;=0,F$11&gt;=0,OR(F$12=0,F$12=1)),F$7+21*F$8,"n.a.")</x:f>
        <x:v>n.a.</x:v>
      </x:c>
    </x:row>
    <x:row r="55">
      <x:c r="C55" t="n">
        <x:v>22</x:v>
      </x:c>
      <x:c r="D55" s="89" t="str">
        <x:f>IF(AND(AND(COUNT(D$7:D$12)=6,D$7&gt;=0,D$8&gt;=0,D$9&gt;-1,D$10&gt;=0,D$11&gt;=0,OR(D$12=0,D$12=1)),ISNUMBER(D54)),D54*((1+D$9)^(1/12)+D$10/12*D$12-D$11/12)+D$8,"n.a.")</x:f>
        <x:v>n.a.</x:v>
      </x:c>
      <x:c r="E55" s="89" t="str">
        <x:f>IF(AND(AND(COUNT(D$7:D$12)=6,D$7&gt;=0,D$8&gt;=0,D$9&gt;-1,D$10&gt;=0,D$11&gt;=0,OR(D$12=0,D$12=1)),COUNT(E54,D54)=2),E54+D54*D$10/12*(1-D$12),"n.a.")</x:f>
        <x:v>n.a.</x:v>
      </x:c>
      <x:c r="F55" s="89" t="str">
        <x:f>IF(AND(COUNT(D$7:D$12)=6,D$7&gt;=0,D$8&gt;=0,D$9&gt;-1,D$10&gt;=0,D$11&gt;=0,OR(D$12=0,D$12=1)),D$7+22*D$8,"n.a.")</x:f>
        <x:v>n.a.</x:v>
      </x:c>
      <x:c r="G55" s="89" t="str">
        <x:f>IF(AND(AND(COUNT(E$7:E$12)=6,E$7&gt;=0,E$8&gt;=0,E$9&gt;-1,E$10&gt;=0,E$11&gt;=0,OR(E$12=0,E$12=1)),ISNUMBER(G54)),G54*((1+E$9)^(1/12)+E$10/12*E$12-E$11/12)+E$8,"n.a.")</x:f>
        <x:v>n.a.</x:v>
      </x:c>
      <x:c r="H55" s="89" t="str">
        <x:f>IF(AND(AND(COUNT(E$7:E$12)=6,E$7&gt;=0,E$8&gt;=0,E$9&gt;-1,E$10&gt;=0,E$11&gt;=0,OR(E$12=0,E$12=1)),COUNT(H54,G54)=2),H54+G54*E$10/12*(1-E$12),"n.a.")</x:f>
        <x:v>n.a.</x:v>
      </x:c>
      <x:c r="I55" s="89" t="str">
        <x:f>IF(AND(COUNT(E$7:E$12)=6,E$7&gt;=0,E$8&gt;=0,E$9&gt;-1,E$10&gt;=0,E$11&gt;=0,OR(E$12=0,E$12=1)),E$7+22*E$8,"n.a.")</x:f>
        <x:v>n.a.</x:v>
      </x:c>
      <x:c r="J55" s="89" t="str">
        <x:f>IF(AND(AND(COUNT(F$7:F$12)=6,F$7&gt;=0,F$8&gt;=0,F$9&gt;-1,F$10&gt;=0,F$11&gt;=0,OR(F$12=0,F$12=1)),ISNUMBER(J54)),J54*((1+F$9)^(1/12)+F$10/12*F$12-F$11/12)+F$8,"n.a.")</x:f>
        <x:v>n.a.</x:v>
      </x:c>
      <x:c r="K55" s="89" t="str">
        <x:f>IF(AND(AND(COUNT(F$7:F$12)=6,F$7&gt;=0,F$8&gt;=0,F$9&gt;-1,F$10&gt;=0,F$11&gt;=0,OR(F$12=0,F$12=1)),COUNT(K54,J54)=2),K54+J54*F$10/12*(1-F$12),"n.a.")</x:f>
        <x:v>n.a.</x:v>
      </x:c>
      <x:c r="L55" s="89" t="str">
        <x:f>IF(AND(COUNT(F$7:F$12)=6,F$7&gt;=0,F$8&gt;=0,F$9&gt;-1,F$10&gt;=0,F$11&gt;=0,OR(F$12=0,F$12=1)),F$7+22*F$8,"n.a.")</x:f>
        <x:v>n.a.</x:v>
      </x:c>
    </x:row>
    <x:row r="56">
      <x:c r="C56" t="n">
        <x:v>23</x:v>
      </x:c>
      <x:c r="D56" s="89" t="str">
        <x:f>IF(AND(AND(COUNT(D$7:D$12)=6,D$7&gt;=0,D$8&gt;=0,D$9&gt;-1,D$10&gt;=0,D$11&gt;=0,OR(D$12=0,D$12=1)),ISNUMBER(D55)),D55*((1+D$9)^(1/12)+D$10/12*D$12-D$11/12)+D$8,"n.a.")</x:f>
        <x:v>n.a.</x:v>
      </x:c>
      <x:c r="E56" s="89" t="str">
        <x:f>IF(AND(AND(COUNT(D$7:D$12)=6,D$7&gt;=0,D$8&gt;=0,D$9&gt;-1,D$10&gt;=0,D$11&gt;=0,OR(D$12=0,D$12=1)),COUNT(E55,D55)=2),E55+D55*D$10/12*(1-D$12),"n.a.")</x:f>
        <x:v>n.a.</x:v>
      </x:c>
      <x:c r="F56" s="89" t="str">
        <x:f>IF(AND(COUNT(D$7:D$12)=6,D$7&gt;=0,D$8&gt;=0,D$9&gt;-1,D$10&gt;=0,D$11&gt;=0,OR(D$12=0,D$12=1)),D$7+23*D$8,"n.a.")</x:f>
        <x:v>n.a.</x:v>
      </x:c>
      <x:c r="G56" s="89" t="str">
        <x:f>IF(AND(AND(COUNT(E$7:E$12)=6,E$7&gt;=0,E$8&gt;=0,E$9&gt;-1,E$10&gt;=0,E$11&gt;=0,OR(E$12=0,E$12=1)),ISNUMBER(G55)),G55*((1+E$9)^(1/12)+E$10/12*E$12-E$11/12)+E$8,"n.a.")</x:f>
        <x:v>n.a.</x:v>
      </x:c>
      <x:c r="H56" s="89" t="str">
        <x:f>IF(AND(AND(COUNT(E$7:E$12)=6,E$7&gt;=0,E$8&gt;=0,E$9&gt;-1,E$10&gt;=0,E$11&gt;=0,OR(E$12=0,E$12=1)),COUNT(H55,G55)=2),H55+G55*E$10/12*(1-E$12),"n.a.")</x:f>
        <x:v>n.a.</x:v>
      </x:c>
      <x:c r="I56" s="89" t="str">
        <x:f>IF(AND(COUNT(E$7:E$12)=6,E$7&gt;=0,E$8&gt;=0,E$9&gt;-1,E$10&gt;=0,E$11&gt;=0,OR(E$12=0,E$12=1)),E$7+23*E$8,"n.a.")</x:f>
        <x:v>n.a.</x:v>
      </x:c>
      <x:c r="J56" s="89" t="str">
        <x:f>IF(AND(AND(COUNT(F$7:F$12)=6,F$7&gt;=0,F$8&gt;=0,F$9&gt;-1,F$10&gt;=0,F$11&gt;=0,OR(F$12=0,F$12=1)),ISNUMBER(J55)),J55*((1+F$9)^(1/12)+F$10/12*F$12-F$11/12)+F$8,"n.a.")</x:f>
        <x:v>n.a.</x:v>
      </x:c>
      <x:c r="K56" s="89" t="str">
        <x:f>IF(AND(AND(COUNT(F$7:F$12)=6,F$7&gt;=0,F$8&gt;=0,F$9&gt;-1,F$10&gt;=0,F$11&gt;=0,OR(F$12=0,F$12=1)),COUNT(K55,J55)=2),K55+J55*F$10/12*(1-F$12),"n.a.")</x:f>
        <x:v>n.a.</x:v>
      </x:c>
      <x:c r="L56" s="89" t="str">
        <x:f>IF(AND(COUNT(F$7:F$12)=6,F$7&gt;=0,F$8&gt;=0,F$9&gt;-1,F$10&gt;=0,F$11&gt;=0,OR(F$12=0,F$12=1)),F$7+23*F$8,"n.a.")</x:f>
        <x:v>n.a.</x:v>
      </x:c>
    </x:row>
    <x:row r="57">
      <x:c r="C57" t="n">
        <x:v>24</x:v>
      </x:c>
      <x:c r="D57" s="89" t="str">
        <x:f>IF(AND(AND(COUNT(D$7:D$12)=6,D$7&gt;=0,D$8&gt;=0,D$9&gt;-1,D$10&gt;=0,D$11&gt;=0,OR(D$12=0,D$12=1)),ISNUMBER(D56)),D56*((1+D$9)^(1/12)+D$10/12*D$12-D$11/12)+D$8,"n.a.")</x:f>
        <x:v>n.a.</x:v>
      </x:c>
      <x:c r="E57" s="89" t="str">
        <x:f>IF(AND(AND(COUNT(D$7:D$12)=6,D$7&gt;=0,D$8&gt;=0,D$9&gt;-1,D$10&gt;=0,D$11&gt;=0,OR(D$12=0,D$12=1)),COUNT(E56,D56)=2),E56+D56*D$10/12*(1-D$12),"n.a.")</x:f>
        <x:v>n.a.</x:v>
      </x:c>
      <x:c r="F57" s="89" t="str">
        <x:f>IF(AND(COUNT(D$7:D$12)=6,D$7&gt;=0,D$8&gt;=0,D$9&gt;-1,D$10&gt;=0,D$11&gt;=0,OR(D$12=0,D$12=1)),D$7+24*D$8,"n.a.")</x:f>
        <x:v>n.a.</x:v>
      </x:c>
      <x:c r="G57" s="89" t="str">
        <x:f>IF(AND(AND(COUNT(E$7:E$12)=6,E$7&gt;=0,E$8&gt;=0,E$9&gt;-1,E$10&gt;=0,E$11&gt;=0,OR(E$12=0,E$12=1)),ISNUMBER(G56)),G56*((1+E$9)^(1/12)+E$10/12*E$12-E$11/12)+E$8,"n.a.")</x:f>
        <x:v>n.a.</x:v>
      </x:c>
      <x:c r="H57" s="89" t="str">
        <x:f>IF(AND(AND(COUNT(E$7:E$12)=6,E$7&gt;=0,E$8&gt;=0,E$9&gt;-1,E$10&gt;=0,E$11&gt;=0,OR(E$12=0,E$12=1)),COUNT(H56,G56)=2),H56+G56*E$10/12*(1-E$12),"n.a.")</x:f>
        <x:v>n.a.</x:v>
      </x:c>
      <x:c r="I57" s="89" t="str">
        <x:f>IF(AND(COUNT(E$7:E$12)=6,E$7&gt;=0,E$8&gt;=0,E$9&gt;-1,E$10&gt;=0,E$11&gt;=0,OR(E$12=0,E$12=1)),E$7+24*E$8,"n.a.")</x:f>
        <x:v>n.a.</x:v>
      </x:c>
      <x:c r="J57" s="89" t="str">
        <x:f>IF(AND(AND(COUNT(F$7:F$12)=6,F$7&gt;=0,F$8&gt;=0,F$9&gt;-1,F$10&gt;=0,F$11&gt;=0,OR(F$12=0,F$12=1)),ISNUMBER(J56)),J56*((1+F$9)^(1/12)+F$10/12*F$12-F$11/12)+F$8,"n.a.")</x:f>
        <x:v>n.a.</x:v>
      </x:c>
      <x:c r="K57" s="89" t="str">
        <x:f>IF(AND(AND(COUNT(F$7:F$12)=6,F$7&gt;=0,F$8&gt;=0,F$9&gt;-1,F$10&gt;=0,F$11&gt;=0,OR(F$12=0,F$12=1)),COUNT(K56,J56)=2),K56+J56*F$10/12*(1-F$12),"n.a.")</x:f>
        <x:v>n.a.</x:v>
      </x:c>
      <x:c r="L57" s="89" t="str">
        <x:f>IF(AND(COUNT(F$7:F$12)=6,F$7&gt;=0,F$8&gt;=0,F$9&gt;-1,F$10&gt;=0,F$11&gt;=0,OR(F$12=0,F$12=1)),F$7+24*F$8,"n.a.")</x:f>
        <x:v>n.a.</x:v>
      </x:c>
    </x:row>
    <x:row r="58">
      <x:c r="C58" t="n">
        <x:v>25</x:v>
      </x:c>
      <x:c r="D58" s="89" t="str">
        <x:f>IF(AND(AND(COUNT(D$7:D$12)=6,D$7&gt;=0,D$8&gt;=0,D$9&gt;-1,D$10&gt;=0,D$11&gt;=0,OR(D$12=0,D$12=1)),ISNUMBER(D57)),D57*((1+D$9)^(1/12)+D$10/12*D$12-D$11/12)+D$8,"n.a.")</x:f>
        <x:v>n.a.</x:v>
      </x:c>
      <x:c r="E58" s="89" t="str">
        <x:f>IF(AND(AND(COUNT(D$7:D$12)=6,D$7&gt;=0,D$8&gt;=0,D$9&gt;-1,D$10&gt;=0,D$11&gt;=0,OR(D$12=0,D$12=1)),COUNT(E57,D57)=2),E57+D57*D$10/12*(1-D$12),"n.a.")</x:f>
        <x:v>n.a.</x:v>
      </x:c>
      <x:c r="F58" s="89" t="str">
        <x:f>IF(AND(COUNT(D$7:D$12)=6,D$7&gt;=0,D$8&gt;=0,D$9&gt;-1,D$10&gt;=0,D$11&gt;=0,OR(D$12=0,D$12=1)),D$7+25*D$8,"n.a.")</x:f>
        <x:v>n.a.</x:v>
      </x:c>
      <x:c r="G58" s="89" t="str">
        <x:f>IF(AND(AND(COUNT(E$7:E$12)=6,E$7&gt;=0,E$8&gt;=0,E$9&gt;-1,E$10&gt;=0,E$11&gt;=0,OR(E$12=0,E$12=1)),ISNUMBER(G57)),G57*((1+E$9)^(1/12)+E$10/12*E$12-E$11/12)+E$8,"n.a.")</x:f>
        <x:v>n.a.</x:v>
      </x:c>
      <x:c r="H58" s="89" t="str">
        <x:f>IF(AND(AND(COUNT(E$7:E$12)=6,E$7&gt;=0,E$8&gt;=0,E$9&gt;-1,E$10&gt;=0,E$11&gt;=0,OR(E$12=0,E$12=1)),COUNT(H57,G57)=2),H57+G57*E$10/12*(1-E$12),"n.a.")</x:f>
        <x:v>n.a.</x:v>
      </x:c>
      <x:c r="I58" s="89" t="str">
        <x:f>IF(AND(COUNT(E$7:E$12)=6,E$7&gt;=0,E$8&gt;=0,E$9&gt;-1,E$10&gt;=0,E$11&gt;=0,OR(E$12=0,E$12=1)),E$7+25*E$8,"n.a.")</x:f>
        <x:v>n.a.</x:v>
      </x:c>
      <x:c r="J58" s="89" t="str">
        <x:f>IF(AND(AND(COUNT(F$7:F$12)=6,F$7&gt;=0,F$8&gt;=0,F$9&gt;-1,F$10&gt;=0,F$11&gt;=0,OR(F$12=0,F$12=1)),ISNUMBER(J57)),J57*((1+F$9)^(1/12)+F$10/12*F$12-F$11/12)+F$8,"n.a.")</x:f>
        <x:v>n.a.</x:v>
      </x:c>
      <x:c r="K58" s="89" t="str">
        <x:f>IF(AND(AND(COUNT(F$7:F$12)=6,F$7&gt;=0,F$8&gt;=0,F$9&gt;-1,F$10&gt;=0,F$11&gt;=0,OR(F$12=0,F$12=1)),COUNT(K57,J57)=2),K57+J57*F$10/12*(1-F$12),"n.a.")</x:f>
        <x:v>n.a.</x:v>
      </x:c>
      <x:c r="L58" s="89" t="str">
        <x:f>IF(AND(COUNT(F$7:F$12)=6,F$7&gt;=0,F$8&gt;=0,F$9&gt;-1,F$10&gt;=0,F$11&gt;=0,OR(F$12=0,F$12=1)),F$7+25*F$8,"n.a.")</x:f>
        <x:v>n.a.</x:v>
      </x:c>
    </x:row>
    <x:row r="59">
      <x:c r="C59" t="n">
        <x:v>26</x:v>
      </x:c>
      <x:c r="D59" s="89" t="str">
        <x:f>IF(AND(AND(COUNT(D$7:D$12)=6,D$7&gt;=0,D$8&gt;=0,D$9&gt;-1,D$10&gt;=0,D$11&gt;=0,OR(D$12=0,D$12=1)),ISNUMBER(D58)),D58*((1+D$9)^(1/12)+D$10/12*D$12-D$11/12)+D$8,"n.a.")</x:f>
        <x:v>n.a.</x:v>
      </x:c>
      <x:c r="E59" s="89" t="str">
        <x:f>IF(AND(AND(COUNT(D$7:D$12)=6,D$7&gt;=0,D$8&gt;=0,D$9&gt;-1,D$10&gt;=0,D$11&gt;=0,OR(D$12=0,D$12=1)),COUNT(E58,D58)=2),E58+D58*D$10/12*(1-D$12),"n.a.")</x:f>
        <x:v>n.a.</x:v>
      </x:c>
      <x:c r="F59" s="89" t="str">
        <x:f>IF(AND(COUNT(D$7:D$12)=6,D$7&gt;=0,D$8&gt;=0,D$9&gt;-1,D$10&gt;=0,D$11&gt;=0,OR(D$12=0,D$12=1)),D$7+26*D$8,"n.a.")</x:f>
        <x:v>n.a.</x:v>
      </x:c>
      <x:c r="G59" s="89" t="str">
        <x:f>IF(AND(AND(COUNT(E$7:E$12)=6,E$7&gt;=0,E$8&gt;=0,E$9&gt;-1,E$10&gt;=0,E$11&gt;=0,OR(E$12=0,E$12=1)),ISNUMBER(G58)),G58*((1+E$9)^(1/12)+E$10/12*E$12-E$11/12)+E$8,"n.a.")</x:f>
        <x:v>n.a.</x:v>
      </x:c>
      <x:c r="H59" s="89" t="str">
        <x:f>IF(AND(AND(COUNT(E$7:E$12)=6,E$7&gt;=0,E$8&gt;=0,E$9&gt;-1,E$10&gt;=0,E$11&gt;=0,OR(E$12=0,E$12=1)),COUNT(H58,G58)=2),H58+G58*E$10/12*(1-E$12),"n.a.")</x:f>
        <x:v>n.a.</x:v>
      </x:c>
      <x:c r="I59" s="89" t="str">
        <x:f>IF(AND(COUNT(E$7:E$12)=6,E$7&gt;=0,E$8&gt;=0,E$9&gt;-1,E$10&gt;=0,E$11&gt;=0,OR(E$12=0,E$12=1)),E$7+26*E$8,"n.a.")</x:f>
        <x:v>n.a.</x:v>
      </x:c>
      <x:c r="J59" s="89" t="str">
        <x:f>IF(AND(AND(COUNT(F$7:F$12)=6,F$7&gt;=0,F$8&gt;=0,F$9&gt;-1,F$10&gt;=0,F$11&gt;=0,OR(F$12=0,F$12=1)),ISNUMBER(J58)),J58*((1+F$9)^(1/12)+F$10/12*F$12-F$11/12)+F$8,"n.a.")</x:f>
        <x:v>n.a.</x:v>
      </x:c>
      <x:c r="K59" s="89" t="str">
        <x:f>IF(AND(AND(COUNT(F$7:F$12)=6,F$7&gt;=0,F$8&gt;=0,F$9&gt;-1,F$10&gt;=0,F$11&gt;=0,OR(F$12=0,F$12=1)),COUNT(K58,J58)=2),K58+J58*F$10/12*(1-F$12),"n.a.")</x:f>
        <x:v>n.a.</x:v>
      </x:c>
      <x:c r="L59" s="89" t="str">
        <x:f>IF(AND(COUNT(F$7:F$12)=6,F$7&gt;=0,F$8&gt;=0,F$9&gt;-1,F$10&gt;=0,F$11&gt;=0,OR(F$12=0,F$12=1)),F$7+26*F$8,"n.a.")</x:f>
        <x:v>n.a.</x:v>
      </x:c>
    </x:row>
    <x:row r="60">
      <x:c r="C60" t="n">
        <x:v>27</x:v>
      </x:c>
      <x:c r="D60" s="89" t="str">
        <x:f>IF(AND(AND(COUNT(D$7:D$12)=6,D$7&gt;=0,D$8&gt;=0,D$9&gt;-1,D$10&gt;=0,D$11&gt;=0,OR(D$12=0,D$12=1)),ISNUMBER(D59)),D59*((1+D$9)^(1/12)+D$10/12*D$12-D$11/12)+D$8,"n.a.")</x:f>
        <x:v>n.a.</x:v>
      </x:c>
      <x:c r="E60" s="89" t="str">
        <x:f>IF(AND(AND(COUNT(D$7:D$12)=6,D$7&gt;=0,D$8&gt;=0,D$9&gt;-1,D$10&gt;=0,D$11&gt;=0,OR(D$12=0,D$12=1)),COUNT(E59,D59)=2),E59+D59*D$10/12*(1-D$12),"n.a.")</x:f>
        <x:v>n.a.</x:v>
      </x:c>
      <x:c r="F60" s="89" t="str">
        <x:f>IF(AND(COUNT(D$7:D$12)=6,D$7&gt;=0,D$8&gt;=0,D$9&gt;-1,D$10&gt;=0,D$11&gt;=0,OR(D$12=0,D$12=1)),D$7+27*D$8,"n.a.")</x:f>
        <x:v>n.a.</x:v>
      </x:c>
      <x:c r="G60" s="89" t="str">
        <x:f>IF(AND(AND(COUNT(E$7:E$12)=6,E$7&gt;=0,E$8&gt;=0,E$9&gt;-1,E$10&gt;=0,E$11&gt;=0,OR(E$12=0,E$12=1)),ISNUMBER(G59)),G59*((1+E$9)^(1/12)+E$10/12*E$12-E$11/12)+E$8,"n.a.")</x:f>
        <x:v>n.a.</x:v>
      </x:c>
      <x:c r="H60" s="89" t="str">
        <x:f>IF(AND(AND(COUNT(E$7:E$12)=6,E$7&gt;=0,E$8&gt;=0,E$9&gt;-1,E$10&gt;=0,E$11&gt;=0,OR(E$12=0,E$12=1)),COUNT(H59,G59)=2),H59+G59*E$10/12*(1-E$12),"n.a.")</x:f>
        <x:v>n.a.</x:v>
      </x:c>
      <x:c r="I60" s="89" t="str">
        <x:f>IF(AND(COUNT(E$7:E$12)=6,E$7&gt;=0,E$8&gt;=0,E$9&gt;-1,E$10&gt;=0,E$11&gt;=0,OR(E$12=0,E$12=1)),E$7+27*E$8,"n.a.")</x:f>
        <x:v>n.a.</x:v>
      </x:c>
      <x:c r="J60" s="89" t="str">
        <x:f>IF(AND(AND(COUNT(F$7:F$12)=6,F$7&gt;=0,F$8&gt;=0,F$9&gt;-1,F$10&gt;=0,F$11&gt;=0,OR(F$12=0,F$12=1)),ISNUMBER(J59)),J59*((1+F$9)^(1/12)+F$10/12*F$12-F$11/12)+F$8,"n.a.")</x:f>
        <x:v>n.a.</x:v>
      </x:c>
      <x:c r="K60" s="89" t="str">
        <x:f>IF(AND(AND(COUNT(F$7:F$12)=6,F$7&gt;=0,F$8&gt;=0,F$9&gt;-1,F$10&gt;=0,F$11&gt;=0,OR(F$12=0,F$12=1)),COUNT(K59,J59)=2),K59+J59*F$10/12*(1-F$12),"n.a.")</x:f>
        <x:v>n.a.</x:v>
      </x:c>
      <x:c r="L60" s="89" t="str">
        <x:f>IF(AND(COUNT(F$7:F$12)=6,F$7&gt;=0,F$8&gt;=0,F$9&gt;-1,F$10&gt;=0,F$11&gt;=0,OR(F$12=0,F$12=1)),F$7+27*F$8,"n.a.")</x:f>
        <x:v>n.a.</x:v>
      </x:c>
    </x:row>
    <x:row r="61">
      <x:c r="C61" t="n">
        <x:v>28</x:v>
      </x:c>
      <x:c r="D61" s="89" t="str">
        <x:f>IF(AND(AND(COUNT(D$7:D$12)=6,D$7&gt;=0,D$8&gt;=0,D$9&gt;-1,D$10&gt;=0,D$11&gt;=0,OR(D$12=0,D$12=1)),ISNUMBER(D60)),D60*((1+D$9)^(1/12)+D$10/12*D$12-D$11/12)+D$8,"n.a.")</x:f>
        <x:v>n.a.</x:v>
      </x:c>
      <x:c r="E61" s="89" t="str">
        <x:f>IF(AND(AND(COUNT(D$7:D$12)=6,D$7&gt;=0,D$8&gt;=0,D$9&gt;-1,D$10&gt;=0,D$11&gt;=0,OR(D$12=0,D$12=1)),COUNT(E60,D60)=2),E60+D60*D$10/12*(1-D$12),"n.a.")</x:f>
        <x:v>n.a.</x:v>
      </x:c>
      <x:c r="F61" s="89" t="str">
        <x:f>IF(AND(COUNT(D$7:D$12)=6,D$7&gt;=0,D$8&gt;=0,D$9&gt;-1,D$10&gt;=0,D$11&gt;=0,OR(D$12=0,D$12=1)),D$7+28*D$8,"n.a.")</x:f>
        <x:v>n.a.</x:v>
      </x:c>
      <x:c r="G61" s="89" t="str">
        <x:f>IF(AND(AND(COUNT(E$7:E$12)=6,E$7&gt;=0,E$8&gt;=0,E$9&gt;-1,E$10&gt;=0,E$11&gt;=0,OR(E$12=0,E$12=1)),ISNUMBER(G60)),G60*((1+E$9)^(1/12)+E$10/12*E$12-E$11/12)+E$8,"n.a.")</x:f>
        <x:v>n.a.</x:v>
      </x:c>
      <x:c r="H61" s="89" t="str">
        <x:f>IF(AND(AND(COUNT(E$7:E$12)=6,E$7&gt;=0,E$8&gt;=0,E$9&gt;-1,E$10&gt;=0,E$11&gt;=0,OR(E$12=0,E$12=1)),COUNT(H60,G60)=2),H60+G60*E$10/12*(1-E$12),"n.a.")</x:f>
        <x:v>n.a.</x:v>
      </x:c>
      <x:c r="I61" s="89" t="str">
        <x:f>IF(AND(COUNT(E$7:E$12)=6,E$7&gt;=0,E$8&gt;=0,E$9&gt;-1,E$10&gt;=0,E$11&gt;=0,OR(E$12=0,E$12=1)),E$7+28*E$8,"n.a.")</x:f>
        <x:v>n.a.</x:v>
      </x:c>
      <x:c r="J61" s="89" t="str">
        <x:f>IF(AND(AND(COUNT(F$7:F$12)=6,F$7&gt;=0,F$8&gt;=0,F$9&gt;-1,F$10&gt;=0,F$11&gt;=0,OR(F$12=0,F$12=1)),ISNUMBER(J60)),J60*((1+F$9)^(1/12)+F$10/12*F$12-F$11/12)+F$8,"n.a.")</x:f>
        <x:v>n.a.</x:v>
      </x:c>
      <x:c r="K61" s="89" t="str">
        <x:f>IF(AND(AND(COUNT(F$7:F$12)=6,F$7&gt;=0,F$8&gt;=0,F$9&gt;-1,F$10&gt;=0,F$11&gt;=0,OR(F$12=0,F$12=1)),COUNT(K60,J60)=2),K60+J60*F$10/12*(1-F$12),"n.a.")</x:f>
        <x:v>n.a.</x:v>
      </x:c>
      <x:c r="L61" s="89" t="str">
        <x:f>IF(AND(COUNT(F$7:F$12)=6,F$7&gt;=0,F$8&gt;=0,F$9&gt;-1,F$10&gt;=0,F$11&gt;=0,OR(F$12=0,F$12=1)),F$7+28*F$8,"n.a.")</x:f>
        <x:v>n.a.</x:v>
      </x:c>
    </x:row>
    <x:row r="62">
      <x:c r="C62" t="n">
        <x:v>29</x:v>
      </x:c>
      <x:c r="D62" s="89" t="str">
        <x:f>IF(AND(AND(COUNT(D$7:D$12)=6,D$7&gt;=0,D$8&gt;=0,D$9&gt;-1,D$10&gt;=0,D$11&gt;=0,OR(D$12=0,D$12=1)),ISNUMBER(D61)),D61*((1+D$9)^(1/12)+D$10/12*D$12-D$11/12)+D$8,"n.a.")</x:f>
        <x:v>n.a.</x:v>
      </x:c>
      <x:c r="E62" s="89" t="str">
        <x:f>IF(AND(AND(COUNT(D$7:D$12)=6,D$7&gt;=0,D$8&gt;=0,D$9&gt;-1,D$10&gt;=0,D$11&gt;=0,OR(D$12=0,D$12=1)),COUNT(E61,D61)=2),E61+D61*D$10/12*(1-D$12),"n.a.")</x:f>
        <x:v>n.a.</x:v>
      </x:c>
      <x:c r="F62" s="89" t="str">
        <x:f>IF(AND(COUNT(D$7:D$12)=6,D$7&gt;=0,D$8&gt;=0,D$9&gt;-1,D$10&gt;=0,D$11&gt;=0,OR(D$12=0,D$12=1)),D$7+29*D$8,"n.a.")</x:f>
        <x:v>n.a.</x:v>
      </x:c>
      <x:c r="G62" s="89" t="str">
        <x:f>IF(AND(AND(COUNT(E$7:E$12)=6,E$7&gt;=0,E$8&gt;=0,E$9&gt;-1,E$10&gt;=0,E$11&gt;=0,OR(E$12=0,E$12=1)),ISNUMBER(G61)),G61*((1+E$9)^(1/12)+E$10/12*E$12-E$11/12)+E$8,"n.a.")</x:f>
        <x:v>n.a.</x:v>
      </x:c>
      <x:c r="H62" s="89" t="str">
        <x:f>IF(AND(AND(COUNT(E$7:E$12)=6,E$7&gt;=0,E$8&gt;=0,E$9&gt;-1,E$10&gt;=0,E$11&gt;=0,OR(E$12=0,E$12=1)),COUNT(H61,G61)=2),H61+G61*E$10/12*(1-E$12),"n.a.")</x:f>
        <x:v>n.a.</x:v>
      </x:c>
      <x:c r="I62" s="89" t="str">
        <x:f>IF(AND(COUNT(E$7:E$12)=6,E$7&gt;=0,E$8&gt;=0,E$9&gt;-1,E$10&gt;=0,E$11&gt;=0,OR(E$12=0,E$12=1)),E$7+29*E$8,"n.a.")</x:f>
        <x:v>n.a.</x:v>
      </x:c>
      <x:c r="J62" s="89" t="str">
        <x:f>IF(AND(AND(COUNT(F$7:F$12)=6,F$7&gt;=0,F$8&gt;=0,F$9&gt;-1,F$10&gt;=0,F$11&gt;=0,OR(F$12=0,F$12=1)),ISNUMBER(J61)),J61*((1+F$9)^(1/12)+F$10/12*F$12-F$11/12)+F$8,"n.a.")</x:f>
        <x:v>n.a.</x:v>
      </x:c>
      <x:c r="K62" s="89" t="str">
        <x:f>IF(AND(AND(COUNT(F$7:F$12)=6,F$7&gt;=0,F$8&gt;=0,F$9&gt;-1,F$10&gt;=0,F$11&gt;=0,OR(F$12=0,F$12=1)),COUNT(K61,J61)=2),K61+J61*F$10/12*(1-F$12),"n.a.")</x:f>
        <x:v>n.a.</x:v>
      </x:c>
      <x:c r="L62" s="89" t="str">
        <x:f>IF(AND(COUNT(F$7:F$12)=6,F$7&gt;=0,F$8&gt;=0,F$9&gt;-1,F$10&gt;=0,F$11&gt;=0,OR(F$12=0,F$12=1)),F$7+29*F$8,"n.a.")</x:f>
        <x:v>n.a.</x:v>
      </x:c>
    </x:row>
    <x:row r="63">
      <x:c r="C63" t="n">
        <x:v>30</x:v>
      </x:c>
      <x:c r="D63" s="89" t="str">
        <x:f>IF(AND(AND(COUNT(D$7:D$12)=6,D$7&gt;=0,D$8&gt;=0,D$9&gt;-1,D$10&gt;=0,D$11&gt;=0,OR(D$12=0,D$12=1)),ISNUMBER(D62)),D62*((1+D$9)^(1/12)+D$10/12*D$12-D$11/12)+D$8,"n.a.")</x:f>
        <x:v>n.a.</x:v>
      </x:c>
      <x:c r="E63" s="89" t="str">
        <x:f>IF(AND(AND(COUNT(D$7:D$12)=6,D$7&gt;=0,D$8&gt;=0,D$9&gt;-1,D$10&gt;=0,D$11&gt;=0,OR(D$12=0,D$12=1)),COUNT(E62,D62)=2),E62+D62*D$10/12*(1-D$12),"n.a.")</x:f>
        <x:v>n.a.</x:v>
      </x:c>
      <x:c r="F63" s="89" t="str">
        <x:f>IF(AND(COUNT(D$7:D$12)=6,D$7&gt;=0,D$8&gt;=0,D$9&gt;-1,D$10&gt;=0,D$11&gt;=0,OR(D$12=0,D$12=1)),D$7+30*D$8,"n.a.")</x:f>
        <x:v>n.a.</x:v>
      </x:c>
      <x:c r="G63" s="89" t="str">
        <x:f>IF(AND(AND(COUNT(E$7:E$12)=6,E$7&gt;=0,E$8&gt;=0,E$9&gt;-1,E$10&gt;=0,E$11&gt;=0,OR(E$12=0,E$12=1)),ISNUMBER(G62)),G62*((1+E$9)^(1/12)+E$10/12*E$12-E$11/12)+E$8,"n.a.")</x:f>
        <x:v>n.a.</x:v>
      </x:c>
      <x:c r="H63" s="89" t="str">
        <x:f>IF(AND(AND(COUNT(E$7:E$12)=6,E$7&gt;=0,E$8&gt;=0,E$9&gt;-1,E$10&gt;=0,E$11&gt;=0,OR(E$12=0,E$12=1)),COUNT(H62,G62)=2),H62+G62*E$10/12*(1-E$12),"n.a.")</x:f>
        <x:v>n.a.</x:v>
      </x:c>
      <x:c r="I63" s="89" t="str">
        <x:f>IF(AND(COUNT(E$7:E$12)=6,E$7&gt;=0,E$8&gt;=0,E$9&gt;-1,E$10&gt;=0,E$11&gt;=0,OR(E$12=0,E$12=1)),E$7+30*E$8,"n.a.")</x:f>
        <x:v>n.a.</x:v>
      </x:c>
      <x:c r="J63" s="89" t="str">
        <x:f>IF(AND(AND(COUNT(F$7:F$12)=6,F$7&gt;=0,F$8&gt;=0,F$9&gt;-1,F$10&gt;=0,F$11&gt;=0,OR(F$12=0,F$12=1)),ISNUMBER(J62)),J62*((1+F$9)^(1/12)+F$10/12*F$12-F$11/12)+F$8,"n.a.")</x:f>
        <x:v>n.a.</x:v>
      </x:c>
      <x:c r="K63" s="89" t="str">
        <x:f>IF(AND(AND(COUNT(F$7:F$12)=6,F$7&gt;=0,F$8&gt;=0,F$9&gt;-1,F$10&gt;=0,F$11&gt;=0,OR(F$12=0,F$12=1)),COUNT(K62,J62)=2),K62+J62*F$10/12*(1-F$12),"n.a.")</x:f>
        <x:v>n.a.</x:v>
      </x:c>
      <x:c r="L63" s="89" t="str">
        <x:f>IF(AND(COUNT(F$7:F$12)=6,F$7&gt;=0,F$8&gt;=0,F$9&gt;-1,F$10&gt;=0,F$11&gt;=0,OR(F$12=0,F$12=1)),F$7+30*F$8,"n.a.")</x:f>
        <x:v>n.a.</x:v>
      </x:c>
    </x:row>
    <x:row r="64">
      <x:c r="C64" t="n">
        <x:v>31</x:v>
      </x:c>
      <x:c r="D64" s="89" t="str">
        <x:f>IF(AND(AND(COUNT(D$7:D$12)=6,D$7&gt;=0,D$8&gt;=0,D$9&gt;-1,D$10&gt;=0,D$11&gt;=0,OR(D$12=0,D$12=1)),ISNUMBER(D63)),D63*((1+D$9)^(1/12)+D$10/12*D$12-D$11/12)+D$8,"n.a.")</x:f>
        <x:v>n.a.</x:v>
      </x:c>
      <x:c r="E64" s="89" t="str">
        <x:f>IF(AND(AND(COUNT(D$7:D$12)=6,D$7&gt;=0,D$8&gt;=0,D$9&gt;-1,D$10&gt;=0,D$11&gt;=0,OR(D$12=0,D$12=1)),COUNT(E63,D63)=2),E63+D63*D$10/12*(1-D$12),"n.a.")</x:f>
        <x:v>n.a.</x:v>
      </x:c>
      <x:c r="F64" s="89" t="str">
        <x:f>IF(AND(COUNT(D$7:D$12)=6,D$7&gt;=0,D$8&gt;=0,D$9&gt;-1,D$10&gt;=0,D$11&gt;=0,OR(D$12=0,D$12=1)),D$7+31*D$8,"n.a.")</x:f>
        <x:v>n.a.</x:v>
      </x:c>
      <x:c r="G64" s="89" t="str">
        <x:f>IF(AND(AND(COUNT(E$7:E$12)=6,E$7&gt;=0,E$8&gt;=0,E$9&gt;-1,E$10&gt;=0,E$11&gt;=0,OR(E$12=0,E$12=1)),ISNUMBER(G63)),G63*((1+E$9)^(1/12)+E$10/12*E$12-E$11/12)+E$8,"n.a.")</x:f>
        <x:v>n.a.</x:v>
      </x:c>
      <x:c r="H64" s="89" t="str">
        <x:f>IF(AND(AND(COUNT(E$7:E$12)=6,E$7&gt;=0,E$8&gt;=0,E$9&gt;-1,E$10&gt;=0,E$11&gt;=0,OR(E$12=0,E$12=1)),COUNT(H63,G63)=2),H63+G63*E$10/12*(1-E$12),"n.a.")</x:f>
        <x:v>n.a.</x:v>
      </x:c>
      <x:c r="I64" s="89" t="str">
        <x:f>IF(AND(COUNT(E$7:E$12)=6,E$7&gt;=0,E$8&gt;=0,E$9&gt;-1,E$10&gt;=0,E$11&gt;=0,OR(E$12=0,E$12=1)),E$7+31*E$8,"n.a.")</x:f>
        <x:v>n.a.</x:v>
      </x:c>
      <x:c r="J64" s="89" t="str">
        <x:f>IF(AND(AND(COUNT(F$7:F$12)=6,F$7&gt;=0,F$8&gt;=0,F$9&gt;-1,F$10&gt;=0,F$11&gt;=0,OR(F$12=0,F$12=1)),ISNUMBER(J63)),J63*((1+F$9)^(1/12)+F$10/12*F$12-F$11/12)+F$8,"n.a.")</x:f>
        <x:v>n.a.</x:v>
      </x:c>
      <x:c r="K64" s="89" t="str">
        <x:f>IF(AND(AND(COUNT(F$7:F$12)=6,F$7&gt;=0,F$8&gt;=0,F$9&gt;-1,F$10&gt;=0,F$11&gt;=0,OR(F$12=0,F$12=1)),COUNT(K63,J63)=2),K63+J63*F$10/12*(1-F$12),"n.a.")</x:f>
        <x:v>n.a.</x:v>
      </x:c>
      <x:c r="L64" s="89" t="str">
        <x:f>IF(AND(COUNT(F$7:F$12)=6,F$7&gt;=0,F$8&gt;=0,F$9&gt;-1,F$10&gt;=0,F$11&gt;=0,OR(F$12=0,F$12=1)),F$7+31*F$8,"n.a.")</x:f>
        <x:v>n.a.</x:v>
      </x:c>
    </x:row>
    <x:row r="65">
      <x:c r="C65" t="n">
        <x:v>32</x:v>
      </x:c>
      <x:c r="D65" s="89" t="str">
        <x:f>IF(AND(AND(COUNT(D$7:D$12)=6,D$7&gt;=0,D$8&gt;=0,D$9&gt;-1,D$10&gt;=0,D$11&gt;=0,OR(D$12=0,D$12=1)),ISNUMBER(D64)),D64*((1+D$9)^(1/12)+D$10/12*D$12-D$11/12)+D$8,"n.a.")</x:f>
        <x:v>n.a.</x:v>
      </x:c>
      <x:c r="E65" s="89" t="str">
        <x:f>IF(AND(AND(COUNT(D$7:D$12)=6,D$7&gt;=0,D$8&gt;=0,D$9&gt;-1,D$10&gt;=0,D$11&gt;=0,OR(D$12=0,D$12=1)),COUNT(E64,D64)=2),E64+D64*D$10/12*(1-D$12),"n.a.")</x:f>
        <x:v>n.a.</x:v>
      </x:c>
      <x:c r="F65" s="89" t="str">
        <x:f>IF(AND(COUNT(D$7:D$12)=6,D$7&gt;=0,D$8&gt;=0,D$9&gt;-1,D$10&gt;=0,D$11&gt;=0,OR(D$12=0,D$12=1)),D$7+32*D$8,"n.a.")</x:f>
        <x:v>n.a.</x:v>
      </x:c>
      <x:c r="G65" s="89" t="str">
        <x:f>IF(AND(AND(COUNT(E$7:E$12)=6,E$7&gt;=0,E$8&gt;=0,E$9&gt;-1,E$10&gt;=0,E$11&gt;=0,OR(E$12=0,E$12=1)),ISNUMBER(G64)),G64*((1+E$9)^(1/12)+E$10/12*E$12-E$11/12)+E$8,"n.a.")</x:f>
        <x:v>n.a.</x:v>
      </x:c>
      <x:c r="H65" s="89" t="str">
        <x:f>IF(AND(AND(COUNT(E$7:E$12)=6,E$7&gt;=0,E$8&gt;=0,E$9&gt;-1,E$10&gt;=0,E$11&gt;=0,OR(E$12=0,E$12=1)),COUNT(H64,G64)=2),H64+G64*E$10/12*(1-E$12),"n.a.")</x:f>
        <x:v>n.a.</x:v>
      </x:c>
      <x:c r="I65" s="89" t="str">
        <x:f>IF(AND(COUNT(E$7:E$12)=6,E$7&gt;=0,E$8&gt;=0,E$9&gt;-1,E$10&gt;=0,E$11&gt;=0,OR(E$12=0,E$12=1)),E$7+32*E$8,"n.a.")</x:f>
        <x:v>n.a.</x:v>
      </x:c>
      <x:c r="J65" s="89" t="str">
        <x:f>IF(AND(AND(COUNT(F$7:F$12)=6,F$7&gt;=0,F$8&gt;=0,F$9&gt;-1,F$10&gt;=0,F$11&gt;=0,OR(F$12=0,F$12=1)),ISNUMBER(J64)),J64*((1+F$9)^(1/12)+F$10/12*F$12-F$11/12)+F$8,"n.a.")</x:f>
        <x:v>n.a.</x:v>
      </x:c>
      <x:c r="K65" s="89" t="str">
        <x:f>IF(AND(AND(COUNT(F$7:F$12)=6,F$7&gt;=0,F$8&gt;=0,F$9&gt;-1,F$10&gt;=0,F$11&gt;=0,OR(F$12=0,F$12=1)),COUNT(K64,J64)=2),K64+J64*F$10/12*(1-F$12),"n.a.")</x:f>
        <x:v>n.a.</x:v>
      </x:c>
      <x:c r="L65" s="89" t="str">
        <x:f>IF(AND(COUNT(F$7:F$12)=6,F$7&gt;=0,F$8&gt;=0,F$9&gt;-1,F$10&gt;=0,F$11&gt;=0,OR(F$12=0,F$12=1)),F$7+32*F$8,"n.a.")</x:f>
        <x:v>n.a.</x:v>
      </x:c>
    </x:row>
    <x:row r="66">
      <x:c r="C66" t="n">
        <x:v>33</x:v>
      </x:c>
      <x:c r="D66" s="89" t="str">
        <x:f>IF(AND(AND(COUNT(D$7:D$12)=6,D$7&gt;=0,D$8&gt;=0,D$9&gt;-1,D$10&gt;=0,D$11&gt;=0,OR(D$12=0,D$12=1)),ISNUMBER(D65)),D65*((1+D$9)^(1/12)+D$10/12*D$12-D$11/12)+D$8,"n.a.")</x:f>
        <x:v>n.a.</x:v>
      </x:c>
      <x:c r="E66" s="89" t="str">
        <x:f>IF(AND(AND(COUNT(D$7:D$12)=6,D$7&gt;=0,D$8&gt;=0,D$9&gt;-1,D$10&gt;=0,D$11&gt;=0,OR(D$12=0,D$12=1)),COUNT(E65,D65)=2),E65+D65*D$10/12*(1-D$12),"n.a.")</x:f>
        <x:v>n.a.</x:v>
      </x:c>
      <x:c r="F66" s="89" t="str">
        <x:f>IF(AND(COUNT(D$7:D$12)=6,D$7&gt;=0,D$8&gt;=0,D$9&gt;-1,D$10&gt;=0,D$11&gt;=0,OR(D$12=0,D$12=1)),D$7+33*D$8,"n.a.")</x:f>
        <x:v>n.a.</x:v>
      </x:c>
      <x:c r="G66" s="89" t="str">
        <x:f>IF(AND(AND(COUNT(E$7:E$12)=6,E$7&gt;=0,E$8&gt;=0,E$9&gt;-1,E$10&gt;=0,E$11&gt;=0,OR(E$12=0,E$12=1)),ISNUMBER(G65)),G65*((1+E$9)^(1/12)+E$10/12*E$12-E$11/12)+E$8,"n.a.")</x:f>
        <x:v>n.a.</x:v>
      </x:c>
      <x:c r="H66" s="89" t="str">
        <x:f>IF(AND(AND(COUNT(E$7:E$12)=6,E$7&gt;=0,E$8&gt;=0,E$9&gt;-1,E$10&gt;=0,E$11&gt;=0,OR(E$12=0,E$12=1)),COUNT(H65,G65)=2),H65+G65*E$10/12*(1-E$12),"n.a.")</x:f>
        <x:v>n.a.</x:v>
      </x:c>
      <x:c r="I66" s="89" t="str">
        <x:f>IF(AND(COUNT(E$7:E$12)=6,E$7&gt;=0,E$8&gt;=0,E$9&gt;-1,E$10&gt;=0,E$11&gt;=0,OR(E$12=0,E$12=1)),E$7+33*E$8,"n.a.")</x:f>
        <x:v>n.a.</x:v>
      </x:c>
      <x:c r="J66" s="89" t="str">
        <x:f>IF(AND(AND(COUNT(F$7:F$12)=6,F$7&gt;=0,F$8&gt;=0,F$9&gt;-1,F$10&gt;=0,F$11&gt;=0,OR(F$12=0,F$12=1)),ISNUMBER(J65)),J65*((1+F$9)^(1/12)+F$10/12*F$12-F$11/12)+F$8,"n.a.")</x:f>
        <x:v>n.a.</x:v>
      </x:c>
      <x:c r="K66" s="89" t="str">
        <x:f>IF(AND(AND(COUNT(F$7:F$12)=6,F$7&gt;=0,F$8&gt;=0,F$9&gt;-1,F$10&gt;=0,F$11&gt;=0,OR(F$12=0,F$12=1)),COUNT(K65,J65)=2),K65+J65*F$10/12*(1-F$12),"n.a.")</x:f>
        <x:v>n.a.</x:v>
      </x:c>
      <x:c r="L66" s="89" t="str">
        <x:f>IF(AND(COUNT(F$7:F$12)=6,F$7&gt;=0,F$8&gt;=0,F$9&gt;-1,F$10&gt;=0,F$11&gt;=0,OR(F$12=0,F$12=1)),F$7+33*F$8,"n.a.")</x:f>
        <x:v>n.a.</x:v>
      </x:c>
    </x:row>
    <x:row r="67">
      <x:c r="C67" t="n">
        <x:v>34</x:v>
      </x:c>
      <x:c r="D67" s="89" t="str">
        <x:f>IF(AND(AND(COUNT(D$7:D$12)=6,D$7&gt;=0,D$8&gt;=0,D$9&gt;-1,D$10&gt;=0,D$11&gt;=0,OR(D$12=0,D$12=1)),ISNUMBER(D66)),D66*((1+D$9)^(1/12)+D$10/12*D$12-D$11/12)+D$8,"n.a.")</x:f>
        <x:v>n.a.</x:v>
      </x:c>
      <x:c r="E67" s="89" t="str">
        <x:f>IF(AND(AND(COUNT(D$7:D$12)=6,D$7&gt;=0,D$8&gt;=0,D$9&gt;-1,D$10&gt;=0,D$11&gt;=0,OR(D$12=0,D$12=1)),COUNT(E66,D66)=2),E66+D66*D$10/12*(1-D$12),"n.a.")</x:f>
        <x:v>n.a.</x:v>
      </x:c>
      <x:c r="F67" s="89" t="str">
        <x:f>IF(AND(COUNT(D$7:D$12)=6,D$7&gt;=0,D$8&gt;=0,D$9&gt;-1,D$10&gt;=0,D$11&gt;=0,OR(D$12=0,D$12=1)),D$7+34*D$8,"n.a.")</x:f>
        <x:v>n.a.</x:v>
      </x:c>
      <x:c r="G67" s="89" t="str">
        <x:f>IF(AND(AND(COUNT(E$7:E$12)=6,E$7&gt;=0,E$8&gt;=0,E$9&gt;-1,E$10&gt;=0,E$11&gt;=0,OR(E$12=0,E$12=1)),ISNUMBER(G66)),G66*((1+E$9)^(1/12)+E$10/12*E$12-E$11/12)+E$8,"n.a.")</x:f>
        <x:v>n.a.</x:v>
      </x:c>
      <x:c r="H67" s="89" t="str">
        <x:f>IF(AND(AND(COUNT(E$7:E$12)=6,E$7&gt;=0,E$8&gt;=0,E$9&gt;-1,E$10&gt;=0,E$11&gt;=0,OR(E$12=0,E$12=1)),COUNT(H66,G66)=2),H66+G66*E$10/12*(1-E$12),"n.a.")</x:f>
        <x:v>n.a.</x:v>
      </x:c>
      <x:c r="I67" s="89" t="str">
        <x:f>IF(AND(COUNT(E$7:E$12)=6,E$7&gt;=0,E$8&gt;=0,E$9&gt;-1,E$10&gt;=0,E$11&gt;=0,OR(E$12=0,E$12=1)),E$7+34*E$8,"n.a.")</x:f>
        <x:v>n.a.</x:v>
      </x:c>
      <x:c r="J67" s="89" t="str">
        <x:f>IF(AND(AND(COUNT(F$7:F$12)=6,F$7&gt;=0,F$8&gt;=0,F$9&gt;-1,F$10&gt;=0,F$11&gt;=0,OR(F$12=0,F$12=1)),ISNUMBER(J66)),J66*((1+F$9)^(1/12)+F$10/12*F$12-F$11/12)+F$8,"n.a.")</x:f>
        <x:v>n.a.</x:v>
      </x:c>
      <x:c r="K67" s="89" t="str">
        <x:f>IF(AND(AND(COUNT(F$7:F$12)=6,F$7&gt;=0,F$8&gt;=0,F$9&gt;-1,F$10&gt;=0,F$11&gt;=0,OR(F$12=0,F$12=1)),COUNT(K66,J66)=2),K66+J66*F$10/12*(1-F$12),"n.a.")</x:f>
        <x:v>n.a.</x:v>
      </x:c>
      <x:c r="L67" s="89" t="str">
        <x:f>IF(AND(COUNT(F$7:F$12)=6,F$7&gt;=0,F$8&gt;=0,F$9&gt;-1,F$10&gt;=0,F$11&gt;=0,OR(F$12=0,F$12=1)),F$7+34*F$8,"n.a.")</x:f>
        <x:v>n.a.</x:v>
      </x:c>
    </x:row>
    <x:row r="68">
      <x:c r="C68" t="n">
        <x:v>35</x:v>
      </x:c>
      <x:c r="D68" s="89" t="str">
        <x:f>IF(AND(AND(COUNT(D$7:D$12)=6,D$7&gt;=0,D$8&gt;=0,D$9&gt;-1,D$10&gt;=0,D$11&gt;=0,OR(D$12=0,D$12=1)),ISNUMBER(D67)),D67*((1+D$9)^(1/12)+D$10/12*D$12-D$11/12)+D$8,"n.a.")</x:f>
        <x:v>n.a.</x:v>
      </x:c>
      <x:c r="E68" s="89" t="str">
        <x:f>IF(AND(AND(COUNT(D$7:D$12)=6,D$7&gt;=0,D$8&gt;=0,D$9&gt;-1,D$10&gt;=0,D$11&gt;=0,OR(D$12=0,D$12=1)),COUNT(E67,D67)=2),E67+D67*D$10/12*(1-D$12),"n.a.")</x:f>
        <x:v>n.a.</x:v>
      </x:c>
      <x:c r="F68" s="89" t="str">
        <x:f>IF(AND(COUNT(D$7:D$12)=6,D$7&gt;=0,D$8&gt;=0,D$9&gt;-1,D$10&gt;=0,D$11&gt;=0,OR(D$12=0,D$12=1)),D$7+35*D$8,"n.a.")</x:f>
        <x:v>n.a.</x:v>
      </x:c>
      <x:c r="G68" s="89" t="str">
        <x:f>IF(AND(AND(COUNT(E$7:E$12)=6,E$7&gt;=0,E$8&gt;=0,E$9&gt;-1,E$10&gt;=0,E$11&gt;=0,OR(E$12=0,E$12=1)),ISNUMBER(G67)),G67*((1+E$9)^(1/12)+E$10/12*E$12-E$11/12)+E$8,"n.a.")</x:f>
        <x:v>n.a.</x:v>
      </x:c>
      <x:c r="H68" s="89" t="str">
        <x:f>IF(AND(AND(COUNT(E$7:E$12)=6,E$7&gt;=0,E$8&gt;=0,E$9&gt;-1,E$10&gt;=0,E$11&gt;=0,OR(E$12=0,E$12=1)),COUNT(H67,G67)=2),H67+G67*E$10/12*(1-E$12),"n.a.")</x:f>
        <x:v>n.a.</x:v>
      </x:c>
      <x:c r="I68" s="89" t="str">
        <x:f>IF(AND(COUNT(E$7:E$12)=6,E$7&gt;=0,E$8&gt;=0,E$9&gt;-1,E$10&gt;=0,E$11&gt;=0,OR(E$12=0,E$12=1)),E$7+35*E$8,"n.a.")</x:f>
        <x:v>n.a.</x:v>
      </x:c>
      <x:c r="J68" s="89" t="str">
        <x:f>IF(AND(AND(COUNT(F$7:F$12)=6,F$7&gt;=0,F$8&gt;=0,F$9&gt;-1,F$10&gt;=0,F$11&gt;=0,OR(F$12=0,F$12=1)),ISNUMBER(J67)),J67*((1+F$9)^(1/12)+F$10/12*F$12-F$11/12)+F$8,"n.a.")</x:f>
        <x:v>n.a.</x:v>
      </x:c>
      <x:c r="K68" s="89" t="str">
        <x:f>IF(AND(AND(COUNT(F$7:F$12)=6,F$7&gt;=0,F$8&gt;=0,F$9&gt;-1,F$10&gt;=0,F$11&gt;=0,OR(F$12=0,F$12=1)),COUNT(K67,J67)=2),K67+J67*F$10/12*(1-F$12),"n.a.")</x:f>
        <x:v>n.a.</x:v>
      </x:c>
      <x:c r="L68" s="89" t="str">
        <x:f>IF(AND(COUNT(F$7:F$12)=6,F$7&gt;=0,F$8&gt;=0,F$9&gt;-1,F$10&gt;=0,F$11&gt;=0,OR(F$12=0,F$12=1)),F$7+35*F$8,"n.a.")</x:f>
        <x:v>n.a.</x:v>
      </x:c>
    </x:row>
    <x:row r="69">
      <x:c r="C69" t="n">
        <x:v>36</x:v>
      </x:c>
      <x:c r="D69" s="89" t="str">
        <x:f>IF(AND(AND(COUNT(D$7:D$12)=6,D$7&gt;=0,D$8&gt;=0,D$9&gt;-1,D$10&gt;=0,D$11&gt;=0,OR(D$12=0,D$12=1)),ISNUMBER(D68)),D68*((1+D$9)^(1/12)+D$10/12*D$12-D$11/12)+D$8,"n.a.")</x:f>
        <x:v>n.a.</x:v>
      </x:c>
      <x:c r="E69" s="89" t="str">
        <x:f>IF(AND(AND(COUNT(D$7:D$12)=6,D$7&gt;=0,D$8&gt;=0,D$9&gt;-1,D$10&gt;=0,D$11&gt;=0,OR(D$12=0,D$12=1)),COUNT(E68,D68)=2),E68+D68*D$10/12*(1-D$12),"n.a.")</x:f>
        <x:v>n.a.</x:v>
      </x:c>
      <x:c r="F69" s="89" t="str">
        <x:f>IF(AND(COUNT(D$7:D$12)=6,D$7&gt;=0,D$8&gt;=0,D$9&gt;-1,D$10&gt;=0,D$11&gt;=0,OR(D$12=0,D$12=1)),D$7+36*D$8,"n.a.")</x:f>
        <x:v>n.a.</x:v>
      </x:c>
      <x:c r="G69" s="89" t="str">
        <x:f>IF(AND(AND(COUNT(E$7:E$12)=6,E$7&gt;=0,E$8&gt;=0,E$9&gt;-1,E$10&gt;=0,E$11&gt;=0,OR(E$12=0,E$12=1)),ISNUMBER(G68)),G68*((1+E$9)^(1/12)+E$10/12*E$12-E$11/12)+E$8,"n.a.")</x:f>
        <x:v>n.a.</x:v>
      </x:c>
      <x:c r="H69" s="89" t="str">
        <x:f>IF(AND(AND(COUNT(E$7:E$12)=6,E$7&gt;=0,E$8&gt;=0,E$9&gt;-1,E$10&gt;=0,E$11&gt;=0,OR(E$12=0,E$12=1)),COUNT(H68,G68)=2),H68+G68*E$10/12*(1-E$12),"n.a.")</x:f>
        <x:v>n.a.</x:v>
      </x:c>
      <x:c r="I69" s="89" t="str">
        <x:f>IF(AND(COUNT(E$7:E$12)=6,E$7&gt;=0,E$8&gt;=0,E$9&gt;-1,E$10&gt;=0,E$11&gt;=0,OR(E$12=0,E$12=1)),E$7+36*E$8,"n.a.")</x:f>
        <x:v>n.a.</x:v>
      </x:c>
      <x:c r="J69" s="89" t="str">
        <x:f>IF(AND(AND(COUNT(F$7:F$12)=6,F$7&gt;=0,F$8&gt;=0,F$9&gt;-1,F$10&gt;=0,F$11&gt;=0,OR(F$12=0,F$12=1)),ISNUMBER(J68)),J68*((1+F$9)^(1/12)+F$10/12*F$12-F$11/12)+F$8,"n.a.")</x:f>
        <x:v>n.a.</x:v>
      </x:c>
      <x:c r="K69" s="89" t="str">
        <x:f>IF(AND(AND(COUNT(F$7:F$12)=6,F$7&gt;=0,F$8&gt;=0,F$9&gt;-1,F$10&gt;=0,F$11&gt;=0,OR(F$12=0,F$12=1)),COUNT(K68,J68)=2),K68+J68*F$10/12*(1-F$12),"n.a.")</x:f>
        <x:v>n.a.</x:v>
      </x:c>
      <x:c r="L69" s="89" t="str">
        <x:f>IF(AND(COUNT(F$7:F$12)=6,F$7&gt;=0,F$8&gt;=0,F$9&gt;-1,F$10&gt;=0,F$11&gt;=0,OR(F$12=0,F$12=1)),F$7+36*F$8,"n.a.")</x:f>
        <x:v>n.a.</x:v>
      </x:c>
    </x:row>
    <x:row r="70">
      <x:c r="C70" t="n">
        <x:v>37</x:v>
      </x:c>
      <x:c r="D70" s="89" t="str">
        <x:f>IF(AND(AND(COUNT(D$7:D$12)=6,D$7&gt;=0,D$8&gt;=0,D$9&gt;-1,D$10&gt;=0,D$11&gt;=0,OR(D$12=0,D$12=1)),ISNUMBER(D69)),D69*((1+D$9)^(1/12)+D$10/12*D$12-D$11/12)+D$8,"n.a.")</x:f>
        <x:v>n.a.</x:v>
      </x:c>
      <x:c r="E70" s="89" t="str">
        <x:f>IF(AND(AND(COUNT(D$7:D$12)=6,D$7&gt;=0,D$8&gt;=0,D$9&gt;-1,D$10&gt;=0,D$11&gt;=0,OR(D$12=0,D$12=1)),COUNT(E69,D69)=2),E69+D69*D$10/12*(1-D$12),"n.a.")</x:f>
        <x:v>n.a.</x:v>
      </x:c>
      <x:c r="F70" s="89" t="str">
        <x:f>IF(AND(COUNT(D$7:D$12)=6,D$7&gt;=0,D$8&gt;=0,D$9&gt;-1,D$10&gt;=0,D$11&gt;=0,OR(D$12=0,D$12=1)),D$7+37*D$8,"n.a.")</x:f>
        <x:v>n.a.</x:v>
      </x:c>
      <x:c r="G70" s="89" t="str">
        <x:f>IF(AND(AND(COUNT(E$7:E$12)=6,E$7&gt;=0,E$8&gt;=0,E$9&gt;-1,E$10&gt;=0,E$11&gt;=0,OR(E$12=0,E$12=1)),ISNUMBER(G69)),G69*((1+E$9)^(1/12)+E$10/12*E$12-E$11/12)+E$8,"n.a.")</x:f>
        <x:v>n.a.</x:v>
      </x:c>
      <x:c r="H70" s="89" t="str">
        <x:f>IF(AND(AND(COUNT(E$7:E$12)=6,E$7&gt;=0,E$8&gt;=0,E$9&gt;-1,E$10&gt;=0,E$11&gt;=0,OR(E$12=0,E$12=1)),COUNT(H69,G69)=2),H69+G69*E$10/12*(1-E$12),"n.a.")</x:f>
        <x:v>n.a.</x:v>
      </x:c>
      <x:c r="I70" s="89" t="str">
        <x:f>IF(AND(COUNT(E$7:E$12)=6,E$7&gt;=0,E$8&gt;=0,E$9&gt;-1,E$10&gt;=0,E$11&gt;=0,OR(E$12=0,E$12=1)),E$7+37*E$8,"n.a.")</x:f>
        <x:v>n.a.</x:v>
      </x:c>
      <x:c r="J70" s="89" t="str">
        <x:f>IF(AND(AND(COUNT(F$7:F$12)=6,F$7&gt;=0,F$8&gt;=0,F$9&gt;-1,F$10&gt;=0,F$11&gt;=0,OR(F$12=0,F$12=1)),ISNUMBER(J69)),J69*((1+F$9)^(1/12)+F$10/12*F$12-F$11/12)+F$8,"n.a.")</x:f>
        <x:v>n.a.</x:v>
      </x:c>
      <x:c r="K70" s="89" t="str">
        <x:f>IF(AND(AND(COUNT(F$7:F$12)=6,F$7&gt;=0,F$8&gt;=0,F$9&gt;-1,F$10&gt;=0,F$11&gt;=0,OR(F$12=0,F$12=1)),COUNT(K69,J69)=2),K69+J69*F$10/12*(1-F$12),"n.a.")</x:f>
        <x:v>n.a.</x:v>
      </x:c>
      <x:c r="L70" s="89" t="str">
        <x:f>IF(AND(COUNT(F$7:F$12)=6,F$7&gt;=0,F$8&gt;=0,F$9&gt;-1,F$10&gt;=0,F$11&gt;=0,OR(F$12=0,F$12=1)),F$7+37*F$8,"n.a.")</x:f>
        <x:v>n.a.</x:v>
      </x:c>
    </x:row>
    <x:row r="71">
      <x:c r="C71" t="n">
        <x:v>38</x:v>
      </x:c>
      <x:c r="D71" s="89" t="str">
        <x:f>IF(AND(AND(COUNT(D$7:D$12)=6,D$7&gt;=0,D$8&gt;=0,D$9&gt;-1,D$10&gt;=0,D$11&gt;=0,OR(D$12=0,D$12=1)),ISNUMBER(D70)),D70*((1+D$9)^(1/12)+D$10/12*D$12-D$11/12)+D$8,"n.a.")</x:f>
        <x:v>n.a.</x:v>
      </x:c>
      <x:c r="E71" s="89" t="str">
        <x:f>IF(AND(AND(COUNT(D$7:D$12)=6,D$7&gt;=0,D$8&gt;=0,D$9&gt;-1,D$10&gt;=0,D$11&gt;=0,OR(D$12=0,D$12=1)),COUNT(E70,D70)=2),E70+D70*D$10/12*(1-D$12),"n.a.")</x:f>
        <x:v>n.a.</x:v>
      </x:c>
      <x:c r="F71" s="89" t="str">
        <x:f>IF(AND(COUNT(D$7:D$12)=6,D$7&gt;=0,D$8&gt;=0,D$9&gt;-1,D$10&gt;=0,D$11&gt;=0,OR(D$12=0,D$12=1)),D$7+38*D$8,"n.a.")</x:f>
        <x:v>n.a.</x:v>
      </x:c>
      <x:c r="G71" s="89" t="str">
        <x:f>IF(AND(AND(COUNT(E$7:E$12)=6,E$7&gt;=0,E$8&gt;=0,E$9&gt;-1,E$10&gt;=0,E$11&gt;=0,OR(E$12=0,E$12=1)),ISNUMBER(G70)),G70*((1+E$9)^(1/12)+E$10/12*E$12-E$11/12)+E$8,"n.a.")</x:f>
        <x:v>n.a.</x:v>
      </x:c>
      <x:c r="H71" s="89" t="str">
        <x:f>IF(AND(AND(COUNT(E$7:E$12)=6,E$7&gt;=0,E$8&gt;=0,E$9&gt;-1,E$10&gt;=0,E$11&gt;=0,OR(E$12=0,E$12=1)),COUNT(H70,G70)=2),H70+G70*E$10/12*(1-E$12),"n.a.")</x:f>
        <x:v>n.a.</x:v>
      </x:c>
      <x:c r="I71" s="89" t="str">
        <x:f>IF(AND(COUNT(E$7:E$12)=6,E$7&gt;=0,E$8&gt;=0,E$9&gt;-1,E$10&gt;=0,E$11&gt;=0,OR(E$12=0,E$12=1)),E$7+38*E$8,"n.a.")</x:f>
        <x:v>n.a.</x:v>
      </x:c>
      <x:c r="J71" s="89" t="str">
        <x:f>IF(AND(AND(COUNT(F$7:F$12)=6,F$7&gt;=0,F$8&gt;=0,F$9&gt;-1,F$10&gt;=0,F$11&gt;=0,OR(F$12=0,F$12=1)),ISNUMBER(J70)),J70*((1+F$9)^(1/12)+F$10/12*F$12-F$11/12)+F$8,"n.a.")</x:f>
        <x:v>n.a.</x:v>
      </x:c>
      <x:c r="K71" s="89" t="str">
        <x:f>IF(AND(AND(COUNT(F$7:F$12)=6,F$7&gt;=0,F$8&gt;=0,F$9&gt;-1,F$10&gt;=0,F$11&gt;=0,OR(F$12=0,F$12=1)),COUNT(K70,J70)=2),K70+J70*F$10/12*(1-F$12),"n.a.")</x:f>
        <x:v>n.a.</x:v>
      </x:c>
      <x:c r="L71" s="89" t="str">
        <x:f>IF(AND(COUNT(F$7:F$12)=6,F$7&gt;=0,F$8&gt;=0,F$9&gt;-1,F$10&gt;=0,F$11&gt;=0,OR(F$12=0,F$12=1)),F$7+38*F$8,"n.a.")</x:f>
        <x:v>n.a.</x:v>
      </x:c>
    </x:row>
    <x:row r="72">
      <x:c r="C72" t="n">
        <x:v>39</x:v>
      </x:c>
      <x:c r="D72" s="89" t="str">
        <x:f>IF(AND(AND(COUNT(D$7:D$12)=6,D$7&gt;=0,D$8&gt;=0,D$9&gt;-1,D$10&gt;=0,D$11&gt;=0,OR(D$12=0,D$12=1)),ISNUMBER(D71)),D71*((1+D$9)^(1/12)+D$10/12*D$12-D$11/12)+D$8,"n.a.")</x:f>
        <x:v>n.a.</x:v>
      </x:c>
      <x:c r="E72" s="89" t="str">
        <x:f>IF(AND(AND(COUNT(D$7:D$12)=6,D$7&gt;=0,D$8&gt;=0,D$9&gt;-1,D$10&gt;=0,D$11&gt;=0,OR(D$12=0,D$12=1)),COUNT(E71,D71)=2),E71+D71*D$10/12*(1-D$12),"n.a.")</x:f>
        <x:v>n.a.</x:v>
      </x:c>
      <x:c r="F72" s="89" t="str">
        <x:f>IF(AND(COUNT(D$7:D$12)=6,D$7&gt;=0,D$8&gt;=0,D$9&gt;-1,D$10&gt;=0,D$11&gt;=0,OR(D$12=0,D$12=1)),D$7+39*D$8,"n.a.")</x:f>
        <x:v>n.a.</x:v>
      </x:c>
      <x:c r="G72" s="89" t="str">
        <x:f>IF(AND(AND(COUNT(E$7:E$12)=6,E$7&gt;=0,E$8&gt;=0,E$9&gt;-1,E$10&gt;=0,E$11&gt;=0,OR(E$12=0,E$12=1)),ISNUMBER(G71)),G71*((1+E$9)^(1/12)+E$10/12*E$12-E$11/12)+E$8,"n.a.")</x:f>
        <x:v>n.a.</x:v>
      </x:c>
      <x:c r="H72" s="89" t="str">
        <x:f>IF(AND(AND(COUNT(E$7:E$12)=6,E$7&gt;=0,E$8&gt;=0,E$9&gt;-1,E$10&gt;=0,E$11&gt;=0,OR(E$12=0,E$12=1)),COUNT(H71,G71)=2),H71+G71*E$10/12*(1-E$12),"n.a.")</x:f>
        <x:v>n.a.</x:v>
      </x:c>
      <x:c r="I72" s="89" t="str">
        <x:f>IF(AND(COUNT(E$7:E$12)=6,E$7&gt;=0,E$8&gt;=0,E$9&gt;-1,E$10&gt;=0,E$11&gt;=0,OR(E$12=0,E$12=1)),E$7+39*E$8,"n.a.")</x:f>
        <x:v>n.a.</x:v>
      </x:c>
      <x:c r="J72" s="89" t="str">
        <x:f>IF(AND(AND(COUNT(F$7:F$12)=6,F$7&gt;=0,F$8&gt;=0,F$9&gt;-1,F$10&gt;=0,F$11&gt;=0,OR(F$12=0,F$12=1)),ISNUMBER(J71)),J71*((1+F$9)^(1/12)+F$10/12*F$12-F$11/12)+F$8,"n.a.")</x:f>
        <x:v>n.a.</x:v>
      </x:c>
      <x:c r="K72" s="89" t="str">
        <x:f>IF(AND(AND(COUNT(F$7:F$12)=6,F$7&gt;=0,F$8&gt;=0,F$9&gt;-1,F$10&gt;=0,F$11&gt;=0,OR(F$12=0,F$12=1)),COUNT(K71,J71)=2),K71+J71*F$10/12*(1-F$12),"n.a.")</x:f>
        <x:v>n.a.</x:v>
      </x:c>
      <x:c r="L72" s="89" t="str">
        <x:f>IF(AND(COUNT(F$7:F$12)=6,F$7&gt;=0,F$8&gt;=0,F$9&gt;-1,F$10&gt;=0,F$11&gt;=0,OR(F$12=0,F$12=1)),F$7+39*F$8,"n.a.")</x:f>
        <x:v>n.a.</x:v>
      </x:c>
    </x:row>
    <x:row r="73">
      <x:c r="C73" t="n">
        <x:v>40</x:v>
      </x:c>
      <x:c r="D73" s="89" t="str">
        <x:f>IF(AND(AND(COUNT(D$7:D$12)=6,D$7&gt;=0,D$8&gt;=0,D$9&gt;-1,D$10&gt;=0,D$11&gt;=0,OR(D$12=0,D$12=1)),ISNUMBER(D72)),D72*((1+D$9)^(1/12)+D$10/12*D$12-D$11/12)+D$8,"n.a.")</x:f>
        <x:v>n.a.</x:v>
      </x:c>
      <x:c r="E73" s="89" t="str">
        <x:f>IF(AND(AND(COUNT(D$7:D$12)=6,D$7&gt;=0,D$8&gt;=0,D$9&gt;-1,D$10&gt;=0,D$11&gt;=0,OR(D$12=0,D$12=1)),COUNT(E72,D72)=2),E72+D72*D$10/12*(1-D$12),"n.a.")</x:f>
        <x:v>n.a.</x:v>
      </x:c>
      <x:c r="F73" s="89" t="str">
        <x:f>IF(AND(COUNT(D$7:D$12)=6,D$7&gt;=0,D$8&gt;=0,D$9&gt;-1,D$10&gt;=0,D$11&gt;=0,OR(D$12=0,D$12=1)),D$7+40*D$8,"n.a.")</x:f>
        <x:v>n.a.</x:v>
      </x:c>
      <x:c r="G73" s="89" t="str">
        <x:f>IF(AND(AND(COUNT(E$7:E$12)=6,E$7&gt;=0,E$8&gt;=0,E$9&gt;-1,E$10&gt;=0,E$11&gt;=0,OR(E$12=0,E$12=1)),ISNUMBER(G72)),G72*((1+E$9)^(1/12)+E$10/12*E$12-E$11/12)+E$8,"n.a.")</x:f>
        <x:v>n.a.</x:v>
      </x:c>
      <x:c r="H73" s="89" t="str">
        <x:f>IF(AND(AND(COUNT(E$7:E$12)=6,E$7&gt;=0,E$8&gt;=0,E$9&gt;-1,E$10&gt;=0,E$11&gt;=0,OR(E$12=0,E$12=1)),COUNT(H72,G72)=2),H72+G72*E$10/12*(1-E$12),"n.a.")</x:f>
        <x:v>n.a.</x:v>
      </x:c>
      <x:c r="I73" s="89" t="str">
        <x:f>IF(AND(COUNT(E$7:E$12)=6,E$7&gt;=0,E$8&gt;=0,E$9&gt;-1,E$10&gt;=0,E$11&gt;=0,OR(E$12=0,E$12=1)),E$7+40*E$8,"n.a.")</x:f>
        <x:v>n.a.</x:v>
      </x:c>
      <x:c r="J73" s="89" t="str">
        <x:f>IF(AND(AND(COUNT(F$7:F$12)=6,F$7&gt;=0,F$8&gt;=0,F$9&gt;-1,F$10&gt;=0,F$11&gt;=0,OR(F$12=0,F$12=1)),ISNUMBER(J72)),J72*((1+F$9)^(1/12)+F$10/12*F$12-F$11/12)+F$8,"n.a.")</x:f>
        <x:v>n.a.</x:v>
      </x:c>
      <x:c r="K73" s="89" t="str">
        <x:f>IF(AND(AND(COUNT(F$7:F$12)=6,F$7&gt;=0,F$8&gt;=0,F$9&gt;-1,F$10&gt;=0,F$11&gt;=0,OR(F$12=0,F$12=1)),COUNT(K72,J72)=2),K72+J72*F$10/12*(1-F$12),"n.a.")</x:f>
        <x:v>n.a.</x:v>
      </x:c>
      <x:c r="L73" s="89" t="str">
        <x:f>IF(AND(COUNT(F$7:F$12)=6,F$7&gt;=0,F$8&gt;=0,F$9&gt;-1,F$10&gt;=0,F$11&gt;=0,OR(F$12=0,F$12=1)),F$7+40*F$8,"n.a.")</x:f>
        <x:v>n.a.</x:v>
      </x:c>
    </x:row>
    <x:row r="74">
      <x:c r="C74" t="n">
        <x:v>41</x:v>
      </x:c>
      <x:c r="D74" s="89" t="str">
        <x:f>IF(AND(AND(COUNT(D$7:D$12)=6,D$7&gt;=0,D$8&gt;=0,D$9&gt;-1,D$10&gt;=0,D$11&gt;=0,OR(D$12=0,D$12=1)),ISNUMBER(D73)),D73*((1+D$9)^(1/12)+D$10/12*D$12-D$11/12)+D$8,"n.a.")</x:f>
        <x:v>n.a.</x:v>
      </x:c>
      <x:c r="E74" s="89" t="str">
        <x:f>IF(AND(AND(COUNT(D$7:D$12)=6,D$7&gt;=0,D$8&gt;=0,D$9&gt;-1,D$10&gt;=0,D$11&gt;=0,OR(D$12=0,D$12=1)),COUNT(E73,D73)=2),E73+D73*D$10/12*(1-D$12),"n.a.")</x:f>
        <x:v>n.a.</x:v>
      </x:c>
      <x:c r="F74" s="89" t="str">
        <x:f>IF(AND(COUNT(D$7:D$12)=6,D$7&gt;=0,D$8&gt;=0,D$9&gt;-1,D$10&gt;=0,D$11&gt;=0,OR(D$12=0,D$12=1)),D$7+41*D$8,"n.a.")</x:f>
        <x:v>n.a.</x:v>
      </x:c>
      <x:c r="G74" s="89" t="str">
        <x:f>IF(AND(AND(COUNT(E$7:E$12)=6,E$7&gt;=0,E$8&gt;=0,E$9&gt;-1,E$10&gt;=0,E$11&gt;=0,OR(E$12=0,E$12=1)),ISNUMBER(G73)),G73*((1+E$9)^(1/12)+E$10/12*E$12-E$11/12)+E$8,"n.a.")</x:f>
        <x:v>n.a.</x:v>
      </x:c>
      <x:c r="H74" s="89" t="str">
        <x:f>IF(AND(AND(COUNT(E$7:E$12)=6,E$7&gt;=0,E$8&gt;=0,E$9&gt;-1,E$10&gt;=0,E$11&gt;=0,OR(E$12=0,E$12=1)),COUNT(H73,G73)=2),H73+G73*E$10/12*(1-E$12),"n.a.")</x:f>
        <x:v>n.a.</x:v>
      </x:c>
      <x:c r="I74" s="89" t="str">
        <x:f>IF(AND(COUNT(E$7:E$12)=6,E$7&gt;=0,E$8&gt;=0,E$9&gt;-1,E$10&gt;=0,E$11&gt;=0,OR(E$12=0,E$12=1)),E$7+41*E$8,"n.a.")</x:f>
        <x:v>n.a.</x:v>
      </x:c>
      <x:c r="J74" s="89" t="str">
        <x:f>IF(AND(AND(COUNT(F$7:F$12)=6,F$7&gt;=0,F$8&gt;=0,F$9&gt;-1,F$10&gt;=0,F$11&gt;=0,OR(F$12=0,F$12=1)),ISNUMBER(J73)),J73*((1+F$9)^(1/12)+F$10/12*F$12-F$11/12)+F$8,"n.a.")</x:f>
        <x:v>n.a.</x:v>
      </x:c>
      <x:c r="K74" s="89" t="str">
        <x:f>IF(AND(AND(COUNT(F$7:F$12)=6,F$7&gt;=0,F$8&gt;=0,F$9&gt;-1,F$10&gt;=0,F$11&gt;=0,OR(F$12=0,F$12=1)),COUNT(K73,J73)=2),K73+J73*F$10/12*(1-F$12),"n.a.")</x:f>
        <x:v>n.a.</x:v>
      </x:c>
      <x:c r="L74" s="89" t="str">
        <x:f>IF(AND(COUNT(F$7:F$12)=6,F$7&gt;=0,F$8&gt;=0,F$9&gt;-1,F$10&gt;=0,F$11&gt;=0,OR(F$12=0,F$12=1)),F$7+41*F$8,"n.a.")</x:f>
        <x:v>n.a.</x:v>
      </x:c>
    </x:row>
    <x:row r="75">
      <x:c r="C75" t="n">
        <x:v>42</x:v>
      </x:c>
      <x:c r="D75" s="89" t="str">
        <x:f>IF(AND(AND(COUNT(D$7:D$12)=6,D$7&gt;=0,D$8&gt;=0,D$9&gt;-1,D$10&gt;=0,D$11&gt;=0,OR(D$12=0,D$12=1)),ISNUMBER(D74)),D74*((1+D$9)^(1/12)+D$10/12*D$12-D$11/12)+D$8,"n.a.")</x:f>
        <x:v>n.a.</x:v>
      </x:c>
      <x:c r="E75" s="89" t="str">
        <x:f>IF(AND(AND(COUNT(D$7:D$12)=6,D$7&gt;=0,D$8&gt;=0,D$9&gt;-1,D$10&gt;=0,D$11&gt;=0,OR(D$12=0,D$12=1)),COUNT(E74,D74)=2),E74+D74*D$10/12*(1-D$12),"n.a.")</x:f>
        <x:v>n.a.</x:v>
      </x:c>
      <x:c r="F75" s="89" t="str">
        <x:f>IF(AND(COUNT(D$7:D$12)=6,D$7&gt;=0,D$8&gt;=0,D$9&gt;-1,D$10&gt;=0,D$11&gt;=0,OR(D$12=0,D$12=1)),D$7+42*D$8,"n.a.")</x:f>
        <x:v>n.a.</x:v>
      </x:c>
      <x:c r="G75" s="89" t="str">
        <x:f>IF(AND(AND(COUNT(E$7:E$12)=6,E$7&gt;=0,E$8&gt;=0,E$9&gt;-1,E$10&gt;=0,E$11&gt;=0,OR(E$12=0,E$12=1)),ISNUMBER(G74)),G74*((1+E$9)^(1/12)+E$10/12*E$12-E$11/12)+E$8,"n.a.")</x:f>
        <x:v>n.a.</x:v>
      </x:c>
      <x:c r="H75" s="89" t="str">
        <x:f>IF(AND(AND(COUNT(E$7:E$12)=6,E$7&gt;=0,E$8&gt;=0,E$9&gt;-1,E$10&gt;=0,E$11&gt;=0,OR(E$12=0,E$12=1)),COUNT(H74,G74)=2),H74+G74*E$10/12*(1-E$12),"n.a.")</x:f>
        <x:v>n.a.</x:v>
      </x:c>
      <x:c r="I75" s="89" t="str">
        <x:f>IF(AND(COUNT(E$7:E$12)=6,E$7&gt;=0,E$8&gt;=0,E$9&gt;-1,E$10&gt;=0,E$11&gt;=0,OR(E$12=0,E$12=1)),E$7+42*E$8,"n.a.")</x:f>
        <x:v>n.a.</x:v>
      </x:c>
      <x:c r="J75" s="89" t="str">
        <x:f>IF(AND(AND(COUNT(F$7:F$12)=6,F$7&gt;=0,F$8&gt;=0,F$9&gt;-1,F$10&gt;=0,F$11&gt;=0,OR(F$12=0,F$12=1)),ISNUMBER(J74)),J74*((1+F$9)^(1/12)+F$10/12*F$12-F$11/12)+F$8,"n.a.")</x:f>
        <x:v>n.a.</x:v>
      </x:c>
      <x:c r="K75" s="89" t="str">
        <x:f>IF(AND(AND(COUNT(F$7:F$12)=6,F$7&gt;=0,F$8&gt;=0,F$9&gt;-1,F$10&gt;=0,F$11&gt;=0,OR(F$12=0,F$12=1)),COUNT(K74,J74)=2),K74+J74*F$10/12*(1-F$12),"n.a.")</x:f>
        <x:v>n.a.</x:v>
      </x:c>
      <x:c r="L75" s="89" t="str">
        <x:f>IF(AND(COUNT(F$7:F$12)=6,F$7&gt;=0,F$8&gt;=0,F$9&gt;-1,F$10&gt;=0,F$11&gt;=0,OR(F$12=0,F$12=1)),F$7+42*F$8,"n.a.")</x:f>
        <x:v>n.a.</x:v>
      </x:c>
    </x:row>
    <x:row r="76">
      <x:c r="C76" t="n">
        <x:v>43</x:v>
      </x:c>
      <x:c r="D76" s="89" t="str">
        <x:f>IF(AND(AND(COUNT(D$7:D$12)=6,D$7&gt;=0,D$8&gt;=0,D$9&gt;-1,D$10&gt;=0,D$11&gt;=0,OR(D$12=0,D$12=1)),ISNUMBER(D75)),D75*((1+D$9)^(1/12)+D$10/12*D$12-D$11/12)+D$8,"n.a.")</x:f>
        <x:v>n.a.</x:v>
      </x:c>
      <x:c r="E76" s="89" t="str">
        <x:f>IF(AND(AND(COUNT(D$7:D$12)=6,D$7&gt;=0,D$8&gt;=0,D$9&gt;-1,D$10&gt;=0,D$11&gt;=0,OR(D$12=0,D$12=1)),COUNT(E75,D75)=2),E75+D75*D$10/12*(1-D$12),"n.a.")</x:f>
        <x:v>n.a.</x:v>
      </x:c>
      <x:c r="F76" s="89" t="str">
        <x:f>IF(AND(COUNT(D$7:D$12)=6,D$7&gt;=0,D$8&gt;=0,D$9&gt;-1,D$10&gt;=0,D$11&gt;=0,OR(D$12=0,D$12=1)),D$7+43*D$8,"n.a.")</x:f>
        <x:v>n.a.</x:v>
      </x:c>
      <x:c r="G76" s="89" t="str">
        <x:f>IF(AND(AND(COUNT(E$7:E$12)=6,E$7&gt;=0,E$8&gt;=0,E$9&gt;-1,E$10&gt;=0,E$11&gt;=0,OR(E$12=0,E$12=1)),ISNUMBER(G75)),G75*((1+E$9)^(1/12)+E$10/12*E$12-E$11/12)+E$8,"n.a.")</x:f>
        <x:v>n.a.</x:v>
      </x:c>
      <x:c r="H76" s="89" t="str">
        <x:f>IF(AND(AND(COUNT(E$7:E$12)=6,E$7&gt;=0,E$8&gt;=0,E$9&gt;-1,E$10&gt;=0,E$11&gt;=0,OR(E$12=0,E$12=1)),COUNT(H75,G75)=2),H75+G75*E$10/12*(1-E$12),"n.a.")</x:f>
        <x:v>n.a.</x:v>
      </x:c>
      <x:c r="I76" s="89" t="str">
        <x:f>IF(AND(COUNT(E$7:E$12)=6,E$7&gt;=0,E$8&gt;=0,E$9&gt;-1,E$10&gt;=0,E$11&gt;=0,OR(E$12=0,E$12=1)),E$7+43*E$8,"n.a.")</x:f>
        <x:v>n.a.</x:v>
      </x:c>
      <x:c r="J76" s="89" t="str">
        <x:f>IF(AND(AND(COUNT(F$7:F$12)=6,F$7&gt;=0,F$8&gt;=0,F$9&gt;-1,F$10&gt;=0,F$11&gt;=0,OR(F$12=0,F$12=1)),ISNUMBER(J75)),J75*((1+F$9)^(1/12)+F$10/12*F$12-F$11/12)+F$8,"n.a.")</x:f>
        <x:v>n.a.</x:v>
      </x:c>
      <x:c r="K76" s="89" t="str">
        <x:f>IF(AND(AND(COUNT(F$7:F$12)=6,F$7&gt;=0,F$8&gt;=0,F$9&gt;-1,F$10&gt;=0,F$11&gt;=0,OR(F$12=0,F$12=1)),COUNT(K75,J75)=2),K75+J75*F$10/12*(1-F$12),"n.a.")</x:f>
        <x:v>n.a.</x:v>
      </x:c>
      <x:c r="L76" s="89" t="str">
        <x:f>IF(AND(COUNT(F$7:F$12)=6,F$7&gt;=0,F$8&gt;=0,F$9&gt;-1,F$10&gt;=0,F$11&gt;=0,OR(F$12=0,F$12=1)),F$7+43*F$8,"n.a.")</x:f>
        <x:v>n.a.</x:v>
      </x:c>
    </x:row>
    <x:row r="77">
      <x:c r="C77" t="n">
        <x:v>44</x:v>
      </x:c>
      <x:c r="D77" s="89" t="str">
        <x:f>IF(AND(AND(COUNT(D$7:D$12)=6,D$7&gt;=0,D$8&gt;=0,D$9&gt;-1,D$10&gt;=0,D$11&gt;=0,OR(D$12=0,D$12=1)),ISNUMBER(D76)),D76*((1+D$9)^(1/12)+D$10/12*D$12-D$11/12)+D$8,"n.a.")</x:f>
        <x:v>n.a.</x:v>
      </x:c>
      <x:c r="E77" s="89" t="str">
        <x:f>IF(AND(AND(COUNT(D$7:D$12)=6,D$7&gt;=0,D$8&gt;=0,D$9&gt;-1,D$10&gt;=0,D$11&gt;=0,OR(D$12=0,D$12=1)),COUNT(E76,D76)=2),E76+D76*D$10/12*(1-D$12),"n.a.")</x:f>
        <x:v>n.a.</x:v>
      </x:c>
      <x:c r="F77" s="89" t="str">
        <x:f>IF(AND(COUNT(D$7:D$12)=6,D$7&gt;=0,D$8&gt;=0,D$9&gt;-1,D$10&gt;=0,D$11&gt;=0,OR(D$12=0,D$12=1)),D$7+44*D$8,"n.a.")</x:f>
        <x:v>n.a.</x:v>
      </x:c>
      <x:c r="G77" s="89" t="str">
        <x:f>IF(AND(AND(COUNT(E$7:E$12)=6,E$7&gt;=0,E$8&gt;=0,E$9&gt;-1,E$10&gt;=0,E$11&gt;=0,OR(E$12=0,E$12=1)),ISNUMBER(G76)),G76*((1+E$9)^(1/12)+E$10/12*E$12-E$11/12)+E$8,"n.a.")</x:f>
        <x:v>n.a.</x:v>
      </x:c>
      <x:c r="H77" s="89" t="str">
        <x:f>IF(AND(AND(COUNT(E$7:E$12)=6,E$7&gt;=0,E$8&gt;=0,E$9&gt;-1,E$10&gt;=0,E$11&gt;=0,OR(E$12=0,E$12=1)),COUNT(H76,G76)=2),H76+G76*E$10/12*(1-E$12),"n.a.")</x:f>
        <x:v>n.a.</x:v>
      </x:c>
      <x:c r="I77" s="89" t="str">
        <x:f>IF(AND(COUNT(E$7:E$12)=6,E$7&gt;=0,E$8&gt;=0,E$9&gt;-1,E$10&gt;=0,E$11&gt;=0,OR(E$12=0,E$12=1)),E$7+44*E$8,"n.a.")</x:f>
        <x:v>n.a.</x:v>
      </x:c>
      <x:c r="J77" s="89" t="str">
        <x:f>IF(AND(AND(COUNT(F$7:F$12)=6,F$7&gt;=0,F$8&gt;=0,F$9&gt;-1,F$10&gt;=0,F$11&gt;=0,OR(F$12=0,F$12=1)),ISNUMBER(J76)),J76*((1+F$9)^(1/12)+F$10/12*F$12-F$11/12)+F$8,"n.a.")</x:f>
        <x:v>n.a.</x:v>
      </x:c>
      <x:c r="K77" s="89" t="str">
        <x:f>IF(AND(AND(COUNT(F$7:F$12)=6,F$7&gt;=0,F$8&gt;=0,F$9&gt;-1,F$10&gt;=0,F$11&gt;=0,OR(F$12=0,F$12=1)),COUNT(K76,J76)=2),K76+J76*F$10/12*(1-F$12),"n.a.")</x:f>
        <x:v>n.a.</x:v>
      </x:c>
      <x:c r="L77" s="89" t="str">
        <x:f>IF(AND(COUNT(F$7:F$12)=6,F$7&gt;=0,F$8&gt;=0,F$9&gt;-1,F$10&gt;=0,F$11&gt;=0,OR(F$12=0,F$12=1)),F$7+44*F$8,"n.a.")</x:f>
        <x:v>n.a.</x:v>
      </x:c>
    </x:row>
    <x:row r="78">
      <x:c r="C78" t="n">
        <x:v>45</x:v>
      </x:c>
      <x:c r="D78" s="89" t="str">
        <x:f>IF(AND(AND(COUNT(D$7:D$12)=6,D$7&gt;=0,D$8&gt;=0,D$9&gt;-1,D$10&gt;=0,D$11&gt;=0,OR(D$12=0,D$12=1)),ISNUMBER(D77)),D77*((1+D$9)^(1/12)+D$10/12*D$12-D$11/12)+D$8,"n.a.")</x:f>
        <x:v>n.a.</x:v>
      </x:c>
      <x:c r="E78" s="89" t="str">
        <x:f>IF(AND(AND(COUNT(D$7:D$12)=6,D$7&gt;=0,D$8&gt;=0,D$9&gt;-1,D$10&gt;=0,D$11&gt;=0,OR(D$12=0,D$12=1)),COUNT(E77,D77)=2),E77+D77*D$10/12*(1-D$12),"n.a.")</x:f>
        <x:v>n.a.</x:v>
      </x:c>
      <x:c r="F78" s="89" t="str">
        <x:f>IF(AND(COUNT(D$7:D$12)=6,D$7&gt;=0,D$8&gt;=0,D$9&gt;-1,D$10&gt;=0,D$11&gt;=0,OR(D$12=0,D$12=1)),D$7+45*D$8,"n.a.")</x:f>
        <x:v>n.a.</x:v>
      </x:c>
      <x:c r="G78" s="89" t="str">
        <x:f>IF(AND(AND(COUNT(E$7:E$12)=6,E$7&gt;=0,E$8&gt;=0,E$9&gt;-1,E$10&gt;=0,E$11&gt;=0,OR(E$12=0,E$12=1)),ISNUMBER(G77)),G77*((1+E$9)^(1/12)+E$10/12*E$12-E$11/12)+E$8,"n.a.")</x:f>
        <x:v>n.a.</x:v>
      </x:c>
      <x:c r="H78" s="89" t="str">
        <x:f>IF(AND(AND(COUNT(E$7:E$12)=6,E$7&gt;=0,E$8&gt;=0,E$9&gt;-1,E$10&gt;=0,E$11&gt;=0,OR(E$12=0,E$12=1)),COUNT(H77,G77)=2),H77+G77*E$10/12*(1-E$12),"n.a.")</x:f>
        <x:v>n.a.</x:v>
      </x:c>
      <x:c r="I78" s="89" t="str">
        <x:f>IF(AND(COUNT(E$7:E$12)=6,E$7&gt;=0,E$8&gt;=0,E$9&gt;-1,E$10&gt;=0,E$11&gt;=0,OR(E$12=0,E$12=1)),E$7+45*E$8,"n.a.")</x:f>
        <x:v>n.a.</x:v>
      </x:c>
      <x:c r="J78" s="89" t="str">
        <x:f>IF(AND(AND(COUNT(F$7:F$12)=6,F$7&gt;=0,F$8&gt;=0,F$9&gt;-1,F$10&gt;=0,F$11&gt;=0,OR(F$12=0,F$12=1)),ISNUMBER(J77)),J77*((1+F$9)^(1/12)+F$10/12*F$12-F$11/12)+F$8,"n.a.")</x:f>
        <x:v>n.a.</x:v>
      </x:c>
      <x:c r="K78" s="89" t="str">
        <x:f>IF(AND(AND(COUNT(F$7:F$12)=6,F$7&gt;=0,F$8&gt;=0,F$9&gt;-1,F$10&gt;=0,F$11&gt;=0,OR(F$12=0,F$12=1)),COUNT(K77,J77)=2),K77+J77*F$10/12*(1-F$12),"n.a.")</x:f>
        <x:v>n.a.</x:v>
      </x:c>
      <x:c r="L78" s="89" t="str">
        <x:f>IF(AND(COUNT(F$7:F$12)=6,F$7&gt;=0,F$8&gt;=0,F$9&gt;-1,F$10&gt;=0,F$11&gt;=0,OR(F$12=0,F$12=1)),F$7+45*F$8,"n.a.")</x:f>
        <x:v>n.a.</x:v>
      </x:c>
    </x:row>
    <x:row r="79">
      <x:c r="C79" t="n">
        <x:v>46</x:v>
      </x:c>
      <x:c r="D79" s="89" t="str">
        <x:f>IF(AND(AND(COUNT(D$7:D$12)=6,D$7&gt;=0,D$8&gt;=0,D$9&gt;-1,D$10&gt;=0,D$11&gt;=0,OR(D$12=0,D$12=1)),ISNUMBER(D78)),D78*((1+D$9)^(1/12)+D$10/12*D$12-D$11/12)+D$8,"n.a.")</x:f>
        <x:v>n.a.</x:v>
      </x:c>
      <x:c r="E79" s="89" t="str">
        <x:f>IF(AND(AND(COUNT(D$7:D$12)=6,D$7&gt;=0,D$8&gt;=0,D$9&gt;-1,D$10&gt;=0,D$11&gt;=0,OR(D$12=0,D$12=1)),COUNT(E78,D78)=2),E78+D78*D$10/12*(1-D$12),"n.a.")</x:f>
        <x:v>n.a.</x:v>
      </x:c>
      <x:c r="F79" s="89" t="str">
        <x:f>IF(AND(COUNT(D$7:D$12)=6,D$7&gt;=0,D$8&gt;=0,D$9&gt;-1,D$10&gt;=0,D$11&gt;=0,OR(D$12=0,D$12=1)),D$7+46*D$8,"n.a.")</x:f>
        <x:v>n.a.</x:v>
      </x:c>
      <x:c r="G79" s="89" t="str">
        <x:f>IF(AND(AND(COUNT(E$7:E$12)=6,E$7&gt;=0,E$8&gt;=0,E$9&gt;-1,E$10&gt;=0,E$11&gt;=0,OR(E$12=0,E$12=1)),ISNUMBER(G78)),G78*((1+E$9)^(1/12)+E$10/12*E$12-E$11/12)+E$8,"n.a.")</x:f>
        <x:v>n.a.</x:v>
      </x:c>
      <x:c r="H79" s="89" t="str">
        <x:f>IF(AND(AND(COUNT(E$7:E$12)=6,E$7&gt;=0,E$8&gt;=0,E$9&gt;-1,E$10&gt;=0,E$11&gt;=0,OR(E$12=0,E$12=1)),COUNT(H78,G78)=2),H78+G78*E$10/12*(1-E$12),"n.a.")</x:f>
        <x:v>n.a.</x:v>
      </x:c>
      <x:c r="I79" s="89" t="str">
        <x:f>IF(AND(COUNT(E$7:E$12)=6,E$7&gt;=0,E$8&gt;=0,E$9&gt;-1,E$10&gt;=0,E$11&gt;=0,OR(E$12=0,E$12=1)),E$7+46*E$8,"n.a.")</x:f>
        <x:v>n.a.</x:v>
      </x:c>
      <x:c r="J79" s="89" t="str">
        <x:f>IF(AND(AND(COUNT(F$7:F$12)=6,F$7&gt;=0,F$8&gt;=0,F$9&gt;-1,F$10&gt;=0,F$11&gt;=0,OR(F$12=0,F$12=1)),ISNUMBER(J78)),J78*((1+F$9)^(1/12)+F$10/12*F$12-F$11/12)+F$8,"n.a.")</x:f>
        <x:v>n.a.</x:v>
      </x:c>
      <x:c r="K79" s="89" t="str">
        <x:f>IF(AND(AND(COUNT(F$7:F$12)=6,F$7&gt;=0,F$8&gt;=0,F$9&gt;-1,F$10&gt;=0,F$11&gt;=0,OR(F$12=0,F$12=1)),COUNT(K78,J78)=2),K78+J78*F$10/12*(1-F$12),"n.a.")</x:f>
        <x:v>n.a.</x:v>
      </x:c>
      <x:c r="L79" s="89" t="str">
        <x:f>IF(AND(COUNT(F$7:F$12)=6,F$7&gt;=0,F$8&gt;=0,F$9&gt;-1,F$10&gt;=0,F$11&gt;=0,OR(F$12=0,F$12=1)),F$7+46*F$8,"n.a.")</x:f>
        <x:v>n.a.</x:v>
      </x:c>
    </x:row>
    <x:row r="80">
      <x:c r="C80" t="n">
        <x:v>47</x:v>
      </x:c>
      <x:c r="D80" s="89" t="str">
        <x:f>IF(AND(AND(COUNT(D$7:D$12)=6,D$7&gt;=0,D$8&gt;=0,D$9&gt;-1,D$10&gt;=0,D$11&gt;=0,OR(D$12=0,D$12=1)),ISNUMBER(D79)),D79*((1+D$9)^(1/12)+D$10/12*D$12-D$11/12)+D$8,"n.a.")</x:f>
        <x:v>n.a.</x:v>
      </x:c>
      <x:c r="E80" s="89" t="str">
        <x:f>IF(AND(AND(COUNT(D$7:D$12)=6,D$7&gt;=0,D$8&gt;=0,D$9&gt;-1,D$10&gt;=0,D$11&gt;=0,OR(D$12=0,D$12=1)),COUNT(E79,D79)=2),E79+D79*D$10/12*(1-D$12),"n.a.")</x:f>
        <x:v>n.a.</x:v>
      </x:c>
      <x:c r="F80" s="89" t="str">
        <x:f>IF(AND(COUNT(D$7:D$12)=6,D$7&gt;=0,D$8&gt;=0,D$9&gt;-1,D$10&gt;=0,D$11&gt;=0,OR(D$12=0,D$12=1)),D$7+47*D$8,"n.a.")</x:f>
        <x:v>n.a.</x:v>
      </x:c>
      <x:c r="G80" s="89" t="str">
        <x:f>IF(AND(AND(COUNT(E$7:E$12)=6,E$7&gt;=0,E$8&gt;=0,E$9&gt;-1,E$10&gt;=0,E$11&gt;=0,OR(E$12=0,E$12=1)),ISNUMBER(G79)),G79*((1+E$9)^(1/12)+E$10/12*E$12-E$11/12)+E$8,"n.a.")</x:f>
        <x:v>n.a.</x:v>
      </x:c>
      <x:c r="H80" s="89" t="str">
        <x:f>IF(AND(AND(COUNT(E$7:E$12)=6,E$7&gt;=0,E$8&gt;=0,E$9&gt;-1,E$10&gt;=0,E$11&gt;=0,OR(E$12=0,E$12=1)),COUNT(H79,G79)=2),H79+G79*E$10/12*(1-E$12),"n.a.")</x:f>
        <x:v>n.a.</x:v>
      </x:c>
      <x:c r="I80" s="89" t="str">
        <x:f>IF(AND(COUNT(E$7:E$12)=6,E$7&gt;=0,E$8&gt;=0,E$9&gt;-1,E$10&gt;=0,E$11&gt;=0,OR(E$12=0,E$12=1)),E$7+47*E$8,"n.a.")</x:f>
        <x:v>n.a.</x:v>
      </x:c>
      <x:c r="J80" s="89" t="str">
        <x:f>IF(AND(AND(COUNT(F$7:F$12)=6,F$7&gt;=0,F$8&gt;=0,F$9&gt;-1,F$10&gt;=0,F$11&gt;=0,OR(F$12=0,F$12=1)),ISNUMBER(J79)),J79*((1+F$9)^(1/12)+F$10/12*F$12-F$11/12)+F$8,"n.a.")</x:f>
        <x:v>n.a.</x:v>
      </x:c>
      <x:c r="K80" s="89" t="str">
        <x:f>IF(AND(AND(COUNT(F$7:F$12)=6,F$7&gt;=0,F$8&gt;=0,F$9&gt;-1,F$10&gt;=0,F$11&gt;=0,OR(F$12=0,F$12=1)),COUNT(K79,J79)=2),K79+J79*F$10/12*(1-F$12),"n.a.")</x:f>
        <x:v>n.a.</x:v>
      </x:c>
      <x:c r="L80" s="89" t="str">
        <x:f>IF(AND(COUNT(F$7:F$12)=6,F$7&gt;=0,F$8&gt;=0,F$9&gt;-1,F$10&gt;=0,F$11&gt;=0,OR(F$12=0,F$12=1)),F$7+47*F$8,"n.a.")</x:f>
        <x:v>n.a.</x:v>
      </x:c>
    </x:row>
    <x:row r="81">
      <x:c r="C81" t="n">
        <x:v>48</x:v>
      </x:c>
      <x:c r="D81" s="89" t="str">
        <x:f>IF(AND(AND(COUNT(D$7:D$12)=6,D$7&gt;=0,D$8&gt;=0,D$9&gt;-1,D$10&gt;=0,D$11&gt;=0,OR(D$12=0,D$12=1)),ISNUMBER(D80)),D80*((1+D$9)^(1/12)+D$10/12*D$12-D$11/12)+D$8,"n.a.")</x:f>
        <x:v>n.a.</x:v>
      </x:c>
      <x:c r="E81" s="89" t="str">
        <x:f>IF(AND(AND(COUNT(D$7:D$12)=6,D$7&gt;=0,D$8&gt;=0,D$9&gt;-1,D$10&gt;=0,D$11&gt;=0,OR(D$12=0,D$12=1)),COUNT(E80,D80)=2),E80+D80*D$10/12*(1-D$12),"n.a.")</x:f>
        <x:v>n.a.</x:v>
      </x:c>
      <x:c r="F81" s="89" t="str">
        <x:f>IF(AND(COUNT(D$7:D$12)=6,D$7&gt;=0,D$8&gt;=0,D$9&gt;-1,D$10&gt;=0,D$11&gt;=0,OR(D$12=0,D$12=1)),D$7+48*D$8,"n.a.")</x:f>
        <x:v>n.a.</x:v>
      </x:c>
      <x:c r="G81" s="89" t="str">
        <x:f>IF(AND(AND(COUNT(E$7:E$12)=6,E$7&gt;=0,E$8&gt;=0,E$9&gt;-1,E$10&gt;=0,E$11&gt;=0,OR(E$12=0,E$12=1)),ISNUMBER(G80)),G80*((1+E$9)^(1/12)+E$10/12*E$12-E$11/12)+E$8,"n.a.")</x:f>
        <x:v>n.a.</x:v>
      </x:c>
      <x:c r="H81" s="89" t="str">
        <x:f>IF(AND(AND(COUNT(E$7:E$12)=6,E$7&gt;=0,E$8&gt;=0,E$9&gt;-1,E$10&gt;=0,E$11&gt;=0,OR(E$12=0,E$12=1)),COUNT(H80,G80)=2),H80+G80*E$10/12*(1-E$12),"n.a.")</x:f>
        <x:v>n.a.</x:v>
      </x:c>
      <x:c r="I81" s="89" t="str">
        <x:f>IF(AND(COUNT(E$7:E$12)=6,E$7&gt;=0,E$8&gt;=0,E$9&gt;-1,E$10&gt;=0,E$11&gt;=0,OR(E$12=0,E$12=1)),E$7+48*E$8,"n.a.")</x:f>
        <x:v>n.a.</x:v>
      </x:c>
      <x:c r="J81" s="89" t="str">
        <x:f>IF(AND(AND(COUNT(F$7:F$12)=6,F$7&gt;=0,F$8&gt;=0,F$9&gt;-1,F$10&gt;=0,F$11&gt;=0,OR(F$12=0,F$12=1)),ISNUMBER(J80)),J80*((1+F$9)^(1/12)+F$10/12*F$12-F$11/12)+F$8,"n.a.")</x:f>
        <x:v>n.a.</x:v>
      </x:c>
      <x:c r="K81" s="89" t="str">
        <x:f>IF(AND(AND(COUNT(F$7:F$12)=6,F$7&gt;=0,F$8&gt;=0,F$9&gt;-1,F$10&gt;=0,F$11&gt;=0,OR(F$12=0,F$12=1)),COUNT(K80,J80)=2),K80+J80*F$10/12*(1-F$12),"n.a.")</x:f>
        <x:v>n.a.</x:v>
      </x:c>
      <x:c r="L81" s="89" t="str">
        <x:f>IF(AND(COUNT(F$7:F$12)=6,F$7&gt;=0,F$8&gt;=0,F$9&gt;-1,F$10&gt;=0,F$11&gt;=0,OR(F$12=0,F$12=1)),F$7+48*F$8,"n.a.")</x:f>
        <x:v>n.a.</x:v>
      </x:c>
    </x:row>
    <x:row r="82">
      <x:c r="C82" t="n">
        <x:v>49</x:v>
      </x:c>
      <x:c r="D82" s="89" t="str">
        <x:f>IF(AND(AND(COUNT(D$7:D$12)=6,D$7&gt;=0,D$8&gt;=0,D$9&gt;-1,D$10&gt;=0,D$11&gt;=0,OR(D$12=0,D$12=1)),ISNUMBER(D81)),D81*((1+D$9)^(1/12)+D$10/12*D$12-D$11/12)+D$8,"n.a.")</x:f>
        <x:v>n.a.</x:v>
      </x:c>
      <x:c r="E82" s="89" t="str">
        <x:f>IF(AND(AND(COUNT(D$7:D$12)=6,D$7&gt;=0,D$8&gt;=0,D$9&gt;-1,D$10&gt;=0,D$11&gt;=0,OR(D$12=0,D$12=1)),COUNT(E81,D81)=2),E81+D81*D$10/12*(1-D$12),"n.a.")</x:f>
        <x:v>n.a.</x:v>
      </x:c>
      <x:c r="F82" s="89" t="str">
        <x:f>IF(AND(COUNT(D$7:D$12)=6,D$7&gt;=0,D$8&gt;=0,D$9&gt;-1,D$10&gt;=0,D$11&gt;=0,OR(D$12=0,D$12=1)),D$7+49*D$8,"n.a.")</x:f>
        <x:v>n.a.</x:v>
      </x:c>
      <x:c r="G82" s="89" t="str">
        <x:f>IF(AND(AND(COUNT(E$7:E$12)=6,E$7&gt;=0,E$8&gt;=0,E$9&gt;-1,E$10&gt;=0,E$11&gt;=0,OR(E$12=0,E$12=1)),ISNUMBER(G81)),G81*((1+E$9)^(1/12)+E$10/12*E$12-E$11/12)+E$8,"n.a.")</x:f>
        <x:v>n.a.</x:v>
      </x:c>
      <x:c r="H82" s="89" t="str">
        <x:f>IF(AND(AND(COUNT(E$7:E$12)=6,E$7&gt;=0,E$8&gt;=0,E$9&gt;-1,E$10&gt;=0,E$11&gt;=0,OR(E$12=0,E$12=1)),COUNT(H81,G81)=2),H81+G81*E$10/12*(1-E$12),"n.a.")</x:f>
        <x:v>n.a.</x:v>
      </x:c>
      <x:c r="I82" s="89" t="str">
        <x:f>IF(AND(COUNT(E$7:E$12)=6,E$7&gt;=0,E$8&gt;=0,E$9&gt;-1,E$10&gt;=0,E$11&gt;=0,OR(E$12=0,E$12=1)),E$7+49*E$8,"n.a.")</x:f>
        <x:v>n.a.</x:v>
      </x:c>
      <x:c r="J82" s="89" t="str">
        <x:f>IF(AND(AND(COUNT(F$7:F$12)=6,F$7&gt;=0,F$8&gt;=0,F$9&gt;-1,F$10&gt;=0,F$11&gt;=0,OR(F$12=0,F$12=1)),ISNUMBER(J81)),J81*((1+F$9)^(1/12)+F$10/12*F$12-F$11/12)+F$8,"n.a.")</x:f>
        <x:v>n.a.</x:v>
      </x:c>
      <x:c r="K82" s="89" t="str">
        <x:f>IF(AND(AND(COUNT(F$7:F$12)=6,F$7&gt;=0,F$8&gt;=0,F$9&gt;-1,F$10&gt;=0,F$11&gt;=0,OR(F$12=0,F$12=1)),COUNT(K81,J81)=2),K81+J81*F$10/12*(1-F$12),"n.a.")</x:f>
        <x:v>n.a.</x:v>
      </x:c>
      <x:c r="L82" s="89" t="str">
        <x:f>IF(AND(COUNT(F$7:F$12)=6,F$7&gt;=0,F$8&gt;=0,F$9&gt;-1,F$10&gt;=0,F$11&gt;=0,OR(F$12=0,F$12=1)),F$7+49*F$8,"n.a.")</x:f>
        <x:v>n.a.</x:v>
      </x:c>
    </x:row>
    <x:row r="83">
      <x:c r="C83" t="n">
        <x:v>50</x:v>
      </x:c>
      <x:c r="D83" s="89" t="str">
        <x:f>IF(AND(AND(COUNT(D$7:D$12)=6,D$7&gt;=0,D$8&gt;=0,D$9&gt;-1,D$10&gt;=0,D$11&gt;=0,OR(D$12=0,D$12=1)),ISNUMBER(D82)),D82*((1+D$9)^(1/12)+D$10/12*D$12-D$11/12)+D$8,"n.a.")</x:f>
        <x:v>n.a.</x:v>
      </x:c>
      <x:c r="E83" s="89" t="str">
        <x:f>IF(AND(AND(COUNT(D$7:D$12)=6,D$7&gt;=0,D$8&gt;=0,D$9&gt;-1,D$10&gt;=0,D$11&gt;=0,OR(D$12=0,D$12=1)),COUNT(E82,D82)=2),E82+D82*D$10/12*(1-D$12),"n.a.")</x:f>
        <x:v>n.a.</x:v>
      </x:c>
      <x:c r="F83" s="89" t="str">
        <x:f>IF(AND(COUNT(D$7:D$12)=6,D$7&gt;=0,D$8&gt;=0,D$9&gt;-1,D$10&gt;=0,D$11&gt;=0,OR(D$12=0,D$12=1)),D$7+50*D$8,"n.a.")</x:f>
        <x:v>n.a.</x:v>
      </x:c>
      <x:c r="G83" s="89" t="str">
        <x:f>IF(AND(AND(COUNT(E$7:E$12)=6,E$7&gt;=0,E$8&gt;=0,E$9&gt;-1,E$10&gt;=0,E$11&gt;=0,OR(E$12=0,E$12=1)),ISNUMBER(G82)),G82*((1+E$9)^(1/12)+E$10/12*E$12-E$11/12)+E$8,"n.a.")</x:f>
        <x:v>n.a.</x:v>
      </x:c>
      <x:c r="H83" s="89" t="str">
        <x:f>IF(AND(AND(COUNT(E$7:E$12)=6,E$7&gt;=0,E$8&gt;=0,E$9&gt;-1,E$10&gt;=0,E$11&gt;=0,OR(E$12=0,E$12=1)),COUNT(H82,G82)=2),H82+G82*E$10/12*(1-E$12),"n.a.")</x:f>
        <x:v>n.a.</x:v>
      </x:c>
      <x:c r="I83" s="89" t="str">
        <x:f>IF(AND(COUNT(E$7:E$12)=6,E$7&gt;=0,E$8&gt;=0,E$9&gt;-1,E$10&gt;=0,E$11&gt;=0,OR(E$12=0,E$12=1)),E$7+50*E$8,"n.a.")</x:f>
        <x:v>n.a.</x:v>
      </x:c>
      <x:c r="J83" s="89" t="str">
        <x:f>IF(AND(AND(COUNT(F$7:F$12)=6,F$7&gt;=0,F$8&gt;=0,F$9&gt;-1,F$10&gt;=0,F$11&gt;=0,OR(F$12=0,F$12=1)),ISNUMBER(J82)),J82*((1+F$9)^(1/12)+F$10/12*F$12-F$11/12)+F$8,"n.a.")</x:f>
        <x:v>n.a.</x:v>
      </x:c>
      <x:c r="K83" s="89" t="str">
        <x:f>IF(AND(AND(COUNT(F$7:F$12)=6,F$7&gt;=0,F$8&gt;=0,F$9&gt;-1,F$10&gt;=0,F$11&gt;=0,OR(F$12=0,F$12=1)),COUNT(K82,J82)=2),K82+J82*F$10/12*(1-F$12),"n.a.")</x:f>
        <x:v>n.a.</x:v>
      </x:c>
      <x:c r="L83" s="89" t="str">
        <x:f>IF(AND(COUNT(F$7:F$12)=6,F$7&gt;=0,F$8&gt;=0,F$9&gt;-1,F$10&gt;=0,F$11&gt;=0,OR(F$12=0,F$12=1)),F$7+50*F$8,"n.a.")</x:f>
        <x:v>n.a.</x:v>
      </x:c>
    </x:row>
    <x:row r="84">
      <x:c r="C84" t="n">
        <x:v>51</x:v>
      </x:c>
      <x:c r="D84" s="89" t="str">
        <x:f>IF(AND(AND(COUNT(D$7:D$12)=6,D$7&gt;=0,D$8&gt;=0,D$9&gt;-1,D$10&gt;=0,D$11&gt;=0,OR(D$12=0,D$12=1)),ISNUMBER(D83)),D83*((1+D$9)^(1/12)+D$10/12*D$12-D$11/12)+D$8,"n.a.")</x:f>
        <x:v>n.a.</x:v>
      </x:c>
      <x:c r="E84" s="89" t="str">
        <x:f>IF(AND(AND(COUNT(D$7:D$12)=6,D$7&gt;=0,D$8&gt;=0,D$9&gt;-1,D$10&gt;=0,D$11&gt;=0,OR(D$12=0,D$12=1)),COUNT(E83,D83)=2),E83+D83*D$10/12*(1-D$12),"n.a.")</x:f>
        <x:v>n.a.</x:v>
      </x:c>
      <x:c r="F84" s="89" t="str">
        <x:f>IF(AND(COUNT(D$7:D$12)=6,D$7&gt;=0,D$8&gt;=0,D$9&gt;-1,D$10&gt;=0,D$11&gt;=0,OR(D$12=0,D$12=1)),D$7+51*D$8,"n.a.")</x:f>
        <x:v>n.a.</x:v>
      </x:c>
      <x:c r="G84" s="89" t="str">
        <x:f>IF(AND(AND(COUNT(E$7:E$12)=6,E$7&gt;=0,E$8&gt;=0,E$9&gt;-1,E$10&gt;=0,E$11&gt;=0,OR(E$12=0,E$12=1)),ISNUMBER(G83)),G83*((1+E$9)^(1/12)+E$10/12*E$12-E$11/12)+E$8,"n.a.")</x:f>
        <x:v>n.a.</x:v>
      </x:c>
      <x:c r="H84" s="89" t="str">
        <x:f>IF(AND(AND(COUNT(E$7:E$12)=6,E$7&gt;=0,E$8&gt;=0,E$9&gt;-1,E$10&gt;=0,E$11&gt;=0,OR(E$12=0,E$12=1)),COUNT(H83,G83)=2),H83+G83*E$10/12*(1-E$12),"n.a.")</x:f>
        <x:v>n.a.</x:v>
      </x:c>
      <x:c r="I84" s="89" t="str">
        <x:f>IF(AND(COUNT(E$7:E$12)=6,E$7&gt;=0,E$8&gt;=0,E$9&gt;-1,E$10&gt;=0,E$11&gt;=0,OR(E$12=0,E$12=1)),E$7+51*E$8,"n.a.")</x:f>
        <x:v>n.a.</x:v>
      </x:c>
      <x:c r="J84" s="89" t="str">
        <x:f>IF(AND(AND(COUNT(F$7:F$12)=6,F$7&gt;=0,F$8&gt;=0,F$9&gt;-1,F$10&gt;=0,F$11&gt;=0,OR(F$12=0,F$12=1)),ISNUMBER(J83)),J83*((1+F$9)^(1/12)+F$10/12*F$12-F$11/12)+F$8,"n.a.")</x:f>
        <x:v>n.a.</x:v>
      </x:c>
      <x:c r="K84" s="89" t="str">
        <x:f>IF(AND(AND(COUNT(F$7:F$12)=6,F$7&gt;=0,F$8&gt;=0,F$9&gt;-1,F$10&gt;=0,F$11&gt;=0,OR(F$12=0,F$12=1)),COUNT(K83,J83)=2),K83+J83*F$10/12*(1-F$12),"n.a.")</x:f>
        <x:v>n.a.</x:v>
      </x:c>
      <x:c r="L84" s="89" t="str">
        <x:f>IF(AND(COUNT(F$7:F$12)=6,F$7&gt;=0,F$8&gt;=0,F$9&gt;-1,F$10&gt;=0,F$11&gt;=0,OR(F$12=0,F$12=1)),F$7+51*F$8,"n.a.")</x:f>
        <x:v>n.a.</x:v>
      </x:c>
    </x:row>
    <x:row r="85">
      <x:c r="C85" t="n">
        <x:v>52</x:v>
      </x:c>
      <x:c r="D85" s="89" t="str">
        <x:f>IF(AND(AND(COUNT(D$7:D$12)=6,D$7&gt;=0,D$8&gt;=0,D$9&gt;-1,D$10&gt;=0,D$11&gt;=0,OR(D$12=0,D$12=1)),ISNUMBER(D84)),D84*((1+D$9)^(1/12)+D$10/12*D$12-D$11/12)+D$8,"n.a.")</x:f>
        <x:v>n.a.</x:v>
      </x:c>
      <x:c r="E85" s="89" t="str">
        <x:f>IF(AND(AND(COUNT(D$7:D$12)=6,D$7&gt;=0,D$8&gt;=0,D$9&gt;-1,D$10&gt;=0,D$11&gt;=0,OR(D$12=0,D$12=1)),COUNT(E84,D84)=2),E84+D84*D$10/12*(1-D$12),"n.a.")</x:f>
        <x:v>n.a.</x:v>
      </x:c>
      <x:c r="F85" s="89" t="str">
        <x:f>IF(AND(COUNT(D$7:D$12)=6,D$7&gt;=0,D$8&gt;=0,D$9&gt;-1,D$10&gt;=0,D$11&gt;=0,OR(D$12=0,D$12=1)),D$7+52*D$8,"n.a.")</x:f>
        <x:v>n.a.</x:v>
      </x:c>
      <x:c r="G85" s="89" t="str">
        <x:f>IF(AND(AND(COUNT(E$7:E$12)=6,E$7&gt;=0,E$8&gt;=0,E$9&gt;-1,E$10&gt;=0,E$11&gt;=0,OR(E$12=0,E$12=1)),ISNUMBER(G84)),G84*((1+E$9)^(1/12)+E$10/12*E$12-E$11/12)+E$8,"n.a.")</x:f>
        <x:v>n.a.</x:v>
      </x:c>
      <x:c r="H85" s="89" t="str">
        <x:f>IF(AND(AND(COUNT(E$7:E$12)=6,E$7&gt;=0,E$8&gt;=0,E$9&gt;-1,E$10&gt;=0,E$11&gt;=0,OR(E$12=0,E$12=1)),COUNT(H84,G84)=2),H84+G84*E$10/12*(1-E$12),"n.a.")</x:f>
        <x:v>n.a.</x:v>
      </x:c>
      <x:c r="I85" s="89" t="str">
        <x:f>IF(AND(COUNT(E$7:E$12)=6,E$7&gt;=0,E$8&gt;=0,E$9&gt;-1,E$10&gt;=0,E$11&gt;=0,OR(E$12=0,E$12=1)),E$7+52*E$8,"n.a.")</x:f>
        <x:v>n.a.</x:v>
      </x:c>
      <x:c r="J85" s="89" t="str">
        <x:f>IF(AND(AND(COUNT(F$7:F$12)=6,F$7&gt;=0,F$8&gt;=0,F$9&gt;-1,F$10&gt;=0,F$11&gt;=0,OR(F$12=0,F$12=1)),ISNUMBER(J84)),J84*((1+F$9)^(1/12)+F$10/12*F$12-F$11/12)+F$8,"n.a.")</x:f>
        <x:v>n.a.</x:v>
      </x:c>
      <x:c r="K85" s="89" t="str">
        <x:f>IF(AND(AND(COUNT(F$7:F$12)=6,F$7&gt;=0,F$8&gt;=0,F$9&gt;-1,F$10&gt;=0,F$11&gt;=0,OR(F$12=0,F$12=1)),COUNT(K84,J84)=2),K84+J84*F$10/12*(1-F$12),"n.a.")</x:f>
        <x:v>n.a.</x:v>
      </x:c>
      <x:c r="L85" s="89" t="str">
        <x:f>IF(AND(COUNT(F$7:F$12)=6,F$7&gt;=0,F$8&gt;=0,F$9&gt;-1,F$10&gt;=0,F$11&gt;=0,OR(F$12=0,F$12=1)),F$7+52*F$8,"n.a.")</x:f>
        <x:v>n.a.</x:v>
      </x:c>
    </x:row>
    <x:row r="86">
      <x:c r="C86" t="n">
        <x:v>53</x:v>
      </x:c>
      <x:c r="D86" s="89" t="str">
        <x:f>IF(AND(AND(COUNT(D$7:D$12)=6,D$7&gt;=0,D$8&gt;=0,D$9&gt;-1,D$10&gt;=0,D$11&gt;=0,OR(D$12=0,D$12=1)),ISNUMBER(D85)),D85*((1+D$9)^(1/12)+D$10/12*D$12-D$11/12)+D$8,"n.a.")</x:f>
        <x:v>n.a.</x:v>
      </x:c>
      <x:c r="E86" s="89" t="str">
        <x:f>IF(AND(AND(COUNT(D$7:D$12)=6,D$7&gt;=0,D$8&gt;=0,D$9&gt;-1,D$10&gt;=0,D$11&gt;=0,OR(D$12=0,D$12=1)),COUNT(E85,D85)=2),E85+D85*D$10/12*(1-D$12),"n.a.")</x:f>
        <x:v>n.a.</x:v>
      </x:c>
      <x:c r="F86" s="89" t="str">
        <x:f>IF(AND(COUNT(D$7:D$12)=6,D$7&gt;=0,D$8&gt;=0,D$9&gt;-1,D$10&gt;=0,D$11&gt;=0,OR(D$12=0,D$12=1)),D$7+53*D$8,"n.a.")</x:f>
        <x:v>n.a.</x:v>
      </x:c>
      <x:c r="G86" s="89" t="str">
        <x:f>IF(AND(AND(COUNT(E$7:E$12)=6,E$7&gt;=0,E$8&gt;=0,E$9&gt;-1,E$10&gt;=0,E$11&gt;=0,OR(E$12=0,E$12=1)),ISNUMBER(G85)),G85*((1+E$9)^(1/12)+E$10/12*E$12-E$11/12)+E$8,"n.a.")</x:f>
        <x:v>n.a.</x:v>
      </x:c>
      <x:c r="H86" s="89" t="str">
        <x:f>IF(AND(AND(COUNT(E$7:E$12)=6,E$7&gt;=0,E$8&gt;=0,E$9&gt;-1,E$10&gt;=0,E$11&gt;=0,OR(E$12=0,E$12=1)),COUNT(H85,G85)=2),H85+G85*E$10/12*(1-E$12),"n.a.")</x:f>
        <x:v>n.a.</x:v>
      </x:c>
      <x:c r="I86" s="89" t="str">
        <x:f>IF(AND(COUNT(E$7:E$12)=6,E$7&gt;=0,E$8&gt;=0,E$9&gt;-1,E$10&gt;=0,E$11&gt;=0,OR(E$12=0,E$12=1)),E$7+53*E$8,"n.a.")</x:f>
        <x:v>n.a.</x:v>
      </x:c>
      <x:c r="J86" s="89" t="str">
        <x:f>IF(AND(AND(COUNT(F$7:F$12)=6,F$7&gt;=0,F$8&gt;=0,F$9&gt;-1,F$10&gt;=0,F$11&gt;=0,OR(F$12=0,F$12=1)),ISNUMBER(J85)),J85*((1+F$9)^(1/12)+F$10/12*F$12-F$11/12)+F$8,"n.a.")</x:f>
        <x:v>n.a.</x:v>
      </x:c>
      <x:c r="K86" s="89" t="str">
        <x:f>IF(AND(AND(COUNT(F$7:F$12)=6,F$7&gt;=0,F$8&gt;=0,F$9&gt;-1,F$10&gt;=0,F$11&gt;=0,OR(F$12=0,F$12=1)),COUNT(K85,J85)=2),K85+J85*F$10/12*(1-F$12),"n.a.")</x:f>
        <x:v>n.a.</x:v>
      </x:c>
      <x:c r="L86" s="89" t="str">
        <x:f>IF(AND(COUNT(F$7:F$12)=6,F$7&gt;=0,F$8&gt;=0,F$9&gt;-1,F$10&gt;=0,F$11&gt;=0,OR(F$12=0,F$12=1)),F$7+53*F$8,"n.a.")</x:f>
        <x:v>n.a.</x:v>
      </x:c>
    </x:row>
    <x:row r="87">
      <x:c r="C87" t="n">
        <x:v>54</x:v>
      </x:c>
      <x:c r="D87" s="89" t="str">
        <x:f>IF(AND(AND(COUNT(D$7:D$12)=6,D$7&gt;=0,D$8&gt;=0,D$9&gt;-1,D$10&gt;=0,D$11&gt;=0,OR(D$12=0,D$12=1)),ISNUMBER(D86)),D86*((1+D$9)^(1/12)+D$10/12*D$12-D$11/12)+D$8,"n.a.")</x:f>
        <x:v>n.a.</x:v>
      </x:c>
      <x:c r="E87" s="89" t="str">
        <x:f>IF(AND(AND(COUNT(D$7:D$12)=6,D$7&gt;=0,D$8&gt;=0,D$9&gt;-1,D$10&gt;=0,D$11&gt;=0,OR(D$12=0,D$12=1)),COUNT(E86,D86)=2),E86+D86*D$10/12*(1-D$12),"n.a.")</x:f>
        <x:v>n.a.</x:v>
      </x:c>
      <x:c r="F87" s="89" t="str">
        <x:f>IF(AND(COUNT(D$7:D$12)=6,D$7&gt;=0,D$8&gt;=0,D$9&gt;-1,D$10&gt;=0,D$11&gt;=0,OR(D$12=0,D$12=1)),D$7+54*D$8,"n.a.")</x:f>
        <x:v>n.a.</x:v>
      </x:c>
      <x:c r="G87" s="89" t="str">
        <x:f>IF(AND(AND(COUNT(E$7:E$12)=6,E$7&gt;=0,E$8&gt;=0,E$9&gt;-1,E$10&gt;=0,E$11&gt;=0,OR(E$12=0,E$12=1)),ISNUMBER(G86)),G86*((1+E$9)^(1/12)+E$10/12*E$12-E$11/12)+E$8,"n.a.")</x:f>
        <x:v>n.a.</x:v>
      </x:c>
      <x:c r="H87" s="89" t="str">
        <x:f>IF(AND(AND(COUNT(E$7:E$12)=6,E$7&gt;=0,E$8&gt;=0,E$9&gt;-1,E$10&gt;=0,E$11&gt;=0,OR(E$12=0,E$12=1)),COUNT(H86,G86)=2),H86+G86*E$10/12*(1-E$12),"n.a.")</x:f>
        <x:v>n.a.</x:v>
      </x:c>
      <x:c r="I87" s="89" t="str">
        <x:f>IF(AND(COUNT(E$7:E$12)=6,E$7&gt;=0,E$8&gt;=0,E$9&gt;-1,E$10&gt;=0,E$11&gt;=0,OR(E$12=0,E$12=1)),E$7+54*E$8,"n.a.")</x:f>
        <x:v>n.a.</x:v>
      </x:c>
      <x:c r="J87" s="89" t="str">
        <x:f>IF(AND(AND(COUNT(F$7:F$12)=6,F$7&gt;=0,F$8&gt;=0,F$9&gt;-1,F$10&gt;=0,F$11&gt;=0,OR(F$12=0,F$12=1)),ISNUMBER(J86)),J86*((1+F$9)^(1/12)+F$10/12*F$12-F$11/12)+F$8,"n.a.")</x:f>
        <x:v>n.a.</x:v>
      </x:c>
      <x:c r="K87" s="89" t="str">
        <x:f>IF(AND(AND(COUNT(F$7:F$12)=6,F$7&gt;=0,F$8&gt;=0,F$9&gt;-1,F$10&gt;=0,F$11&gt;=0,OR(F$12=0,F$12=1)),COUNT(K86,J86)=2),K86+J86*F$10/12*(1-F$12),"n.a.")</x:f>
        <x:v>n.a.</x:v>
      </x:c>
      <x:c r="L87" s="89" t="str">
        <x:f>IF(AND(COUNT(F$7:F$12)=6,F$7&gt;=0,F$8&gt;=0,F$9&gt;-1,F$10&gt;=0,F$11&gt;=0,OR(F$12=0,F$12=1)),F$7+54*F$8,"n.a.")</x:f>
        <x:v>n.a.</x:v>
      </x:c>
    </x:row>
    <x:row r="88">
      <x:c r="C88" t="n">
        <x:v>55</x:v>
      </x:c>
      <x:c r="D88" s="89" t="str">
        <x:f>IF(AND(AND(COUNT(D$7:D$12)=6,D$7&gt;=0,D$8&gt;=0,D$9&gt;-1,D$10&gt;=0,D$11&gt;=0,OR(D$12=0,D$12=1)),ISNUMBER(D87)),D87*((1+D$9)^(1/12)+D$10/12*D$12-D$11/12)+D$8,"n.a.")</x:f>
        <x:v>n.a.</x:v>
      </x:c>
      <x:c r="E88" s="89" t="str">
        <x:f>IF(AND(AND(COUNT(D$7:D$12)=6,D$7&gt;=0,D$8&gt;=0,D$9&gt;-1,D$10&gt;=0,D$11&gt;=0,OR(D$12=0,D$12=1)),COUNT(E87,D87)=2),E87+D87*D$10/12*(1-D$12),"n.a.")</x:f>
        <x:v>n.a.</x:v>
      </x:c>
      <x:c r="F88" s="89" t="str">
        <x:f>IF(AND(COUNT(D$7:D$12)=6,D$7&gt;=0,D$8&gt;=0,D$9&gt;-1,D$10&gt;=0,D$11&gt;=0,OR(D$12=0,D$12=1)),D$7+55*D$8,"n.a.")</x:f>
        <x:v>n.a.</x:v>
      </x:c>
      <x:c r="G88" s="89" t="str">
        <x:f>IF(AND(AND(COUNT(E$7:E$12)=6,E$7&gt;=0,E$8&gt;=0,E$9&gt;-1,E$10&gt;=0,E$11&gt;=0,OR(E$12=0,E$12=1)),ISNUMBER(G87)),G87*((1+E$9)^(1/12)+E$10/12*E$12-E$11/12)+E$8,"n.a.")</x:f>
        <x:v>n.a.</x:v>
      </x:c>
      <x:c r="H88" s="89" t="str">
        <x:f>IF(AND(AND(COUNT(E$7:E$12)=6,E$7&gt;=0,E$8&gt;=0,E$9&gt;-1,E$10&gt;=0,E$11&gt;=0,OR(E$12=0,E$12=1)),COUNT(H87,G87)=2),H87+G87*E$10/12*(1-E$12),"n.a.")</x:f>
        <x:v>n.a.</x:v>
      </x:c>
      <x:c r="I88" s="89" t="str">
        <x:f>IF(AND(COUNT(E$7:E$12)=6,E$7&gt;=0,E$8&gt;=0,E$9&gt;-1,E$10&gt;=0,E$11&gt;=0,OR(E$12=0,E$12=1)),E$7+55*E$8,"n.a.")</x:f>
        <x:v>n.a.</x:v>
      </x:c>
      <x:c r="J88" s="89" t="str">
        <x:f>IF(AND(AND(COUNT(F$7:F$12)=6,F$7&gt;=0,F$8&gt;=0,F$9&gt;-1,F$10&gt;=0,F$11&gt;=0,OR(F$12=0,F$12=1)),ISNUMBER(J87)),J87*((1+F$9)^(1/12)+F$10/12*F$12-F$11/12)+F$8,"n.a.")</x:f>
        <x:v>n.a.</x:v>
      </x:c>
      <x:c r="K88" s="89" t="str">
        <x:f>IF(AND(AND(COUNT(F$7:F$12)=6,F$7&gt;=0,F$8&gt;=0,F$9&gt;-1,F$10&gt;=0,F$11&gt;=0,OR(F$12=0,F$12=1)),COUNT(K87,J87)=2),K87+J87*F$10/12*(1-F$12),"n.a.")</x:f>
        <x:v>n.a.</x:v>
      </x:c>
      <x:c r="L88" s="89" t="str">
        <x:f>IF(AND(COUNT(F$7:F$12)=6,F$7&gt;=0,F$8&gt;=0,F$9&gt;-1,F$10&gt;=0,F$11&gt;=0,OR(F$12=0,F$12=1)),F$7+55*F$8,"n.a.")</x:f>
        <x:v>n.a.</x:v>
      </x:c>
    </x:row>
    <x:row r="89">
      <x:c r="C89" t="n">
        <x:v>56</x:v>
      </x:c>
      <x:c r="D89" s="89" t="str">
        <x:f>IF(AND(AND(COUNT(D$7:D$12)=6,D$7&gt;=0,D$8&gt;=0,D$9&gt;-1,D$10&gt;=0,D$11&gt;=0,OR(D$12=0,D$12=1)),ISNUMBER(D88)),D88*((1+D$9)^(1/12)+D$10/12*D$12-D$11/12)+D$8,"n.a.")</x:f>
        <x:v>n.a.</x:v>
      </x:c>
      <x:c r="E89" s="89" t="str">
        <x:f>IF(AND(AND(COUNT(D$7:D$12)=6,D$7&gt;=0,D$8&gt;=0,D$9&gt;-1,D$10&gt;=0,D$11&gt;=0,OR(D$12=0,D$12=1)),COUNT(E88,D88)=2),E88+D88*D$10/12*(1-D$12),"n.a.")</x:f>
        <x:v>n.a.</x:v>
      </x:c>
      <x:c r="F89" s="89" t="str">
        <x:f>IF(AND(COUNT(D$7:D$12)=6,D$7&gt;=0,D$8&gt;=0,D$9&gt;-1,D$10&gt;=0,D$11&gt;=0,OR(D$12=0,D$12=1)),D$7+56*D$8,"n.a.")</x:f>
        <x:v>n.a.</x:v>
      </x:c>
      <x:c r="G89" s="89" t="str">
        <x:f>IF(AND(AND(COUNT(E$7:E$12)=6,E$7&gt;=0,E$8&gt;=0,E$9&gt;-1,E$10&gt;=0,E$11&gt;=0,OR(E$12=0,E$12=1)),ISNUMBER(G88)),G88*((1+E$9)^(1/12)+E$10/12*E$12-E$11/12)+E$8,"n.a.")</x:f>
        <x:v>n.a.</x:v>
      </x:c>
      <x:c r="H89" s="89" t="str">
        <x:f>IF(AND(AND(COUNT(E$7:E$12)=6,E$7&gt;=0,E$8&gt;=0,E$9&gt;-1,E$10&gt;=0,E$11&gt;=0,OR(E$12=0,E$12=1)),COUNT(H88,G88)=2),H88+G88*E$10/12*(1-E$12),"n.a.")</x:f>
        <x:v>n.a.</x:v>
      </x:c>
      <x:c r="I89" s="89" t="str">
        <x:f>IF(AND(COUNT(E$7:E$12)=6,E$7&gt;=0,E$8&gt;=0,E$9&gt;-1,E$10&gt;=0,E$11&gt;=0,OR(E$12=0,E$12=1)),E$7+56*E$8,"n.a.")</x:f>
        <x:v>n.a.</x:v>
      </x:c>
      <x:c r="J89" s="89" t="str">
        <x:f>IF(AND(AND(COUNT(F$7:F$12)=6,F$7&gt;=0,F$8&gt;=0,F$9&gt;-1,F$10&gt;=0,F$11&gt;=0,OR(F$12=0,F$12=1)),ISNUMBER(J88)),J88*((1+F$9)^(1/12)+F$10/12*F$12-F$11/12)+F$8,"n.a.")</x:f>
        <x:v>n.a.</x:v>
      </x:c>
      <x:c r="K89" s="89" t="str">
        <x:f>IF(AND(AND(COUNT(F$7:F$12)=6,F$7&gt;=0,F$8&gt;=0,F$9&gt;-1,F$10&gt;=0,F$11&gt;=0,OR(F$12=0,F$12=1)),COUNT(K88,J88)=2),K88+J88*F$10/12*(1-F$12),"n.a.")</x:f>
        <x:v>n.a.</x:v>
      </x:c>
      <x:c r="L89" s="89" t="str">
        <x:f>IF(AND(COUNT(F$7:F$12)=6,F$7&gt;=0,F$8&gt;=0,F$9&gt;-1,F$10&gt;=0,F$11&gt;=0,OR(F$12=0,F$12=1)),F$7+56*F$8,"n.a.")</x:f>
        <x:v>n.a.</x:v>
      </x:c>
    </x:row>
    <x:row r="90">
      <x:c r="C90" t="n">
        <x:v>57</x:v>
      </x:c>
      <x:c r="D90" s="89" t="str">
        <x:f>IF(AND(AND(COUNT(D$7:D$12)=6,D$7&gt;=0,D$8&gt;=0,D$9&gt;-1,D$10&gt;=0,D$11&gt;=0,OR(D$12=0,D$12=1)),ISNUMBER(D89)),D89*((1+D$9)^(1/12)+D$10/12*D$12-D$11/12)+D$8,"n.a.")</x:f>
        <x:v>n.a.</x:v>
      </x:c>
      <x:c r="E90" s="89" t="str">
        <x:f>IF(AND(AND(COUNT(D$7:D$12)=6,D$7&gt;=0,D$8&gt;=0,D$9&gt;-1,D$10&gt;=0,D$11&gt;=0,OR(D$12=0,D$12=1)),COUNT(E89,D89)=2),E89+D89*D$10/12*(1-D$12),"n.a.")</x:f>
        <x:v>n.a.</x:v>
      </x:c>
      <x:c r="F90" s="89" t="str">
        <x:f>IF(AND(COUNT(D$7:D$12)=6,D$7&gt;=0,D$8&gt;=0,D$9&gt;-1,D$10&gt;=0,D$11&gt;=0,OR(D$12=0,D$12=1)),D$7+57*D$8,"n.a.")</x:f>
        <x:v>n.a.</x:v>
      </x:c>
      <x:c r="G90" s="89" t="str">
        <x:f>IF(AND(AND(COUNT(E$7:E$12)=6,E$7&gt;=0,E$8&gt;=0,E$9&gt;-1,E$10&gt;=0,E$11&gt;=0,OR(E$12=0,E$12=1)),ISNUMBER(G89)),G89*((1+E$9)^(1/12)+E$10/12*E$12-E$11/12)+E$8,"n.a.")</x:f>
        <x:v>n.a.</x:v>
      </x:c>
      <x:c r="H90" s="89" t="str">
        <x:f>IF(AND(AND(COUNT(E$7:E$12)=6,E$7&gt;=0,E$8&gt;=0,E$9&gt;-1,E$10&gt;=0,E$11&gt;=0,OR(E$12=0,E$12=1)),COUNT(H89,G89)=2),H89+G89*E$10/12*(1-E$12),"n.a.")</x:f>
        <x:v>n.a.</x:v>
      </x:c>
      <x:c r="I90" s="89" t="str">
        <x:f>IF(AND(COUNT(E$7:E$12)=6,E$7&gt;=0,E$8&gt;=0,E$9&gt;-1,E$10&gt;=0,E$11&gt;=0,OR(E$12=0,E$12=1)),E$7+57*E$8,"n.a.")</x:f>
        <x:v>n.a.</x:v>
      </x:c>
      <x:c r="J90" s="89" t="str">
        <x:f>IF(AND(AND(COUNT(F$7:F$12)=6,F$7&gt;=0,F$8&gt;=0,F$9&gt;-1,F$10&gt;=0,F$11&gt;=0,OR(F$12=0,F$12=1)),ISNUMBER(J89)),J89*((1+F$9)^(1/12)+F$10/12*F$12-F$11/12)+F$8,"n.a.")</x:f>
        <x:v>n.a.</x:v>
      </x:c>
      <x:c r="K90" s="89" t="str">
        <x:f>IF(AND(AND(COUNT(F$7:F$12)=6,F$7&gt;=0,F$8&gt;=0,F$9&gt;-1,F$10&gt;=0,F$11&gt;=0,OR(F$12=0,F$12=1)),COUNT(K89,J89)=2),K89+J89*F$10/12*(1-F$12),"n.a.")</x:f>
        <x:v>n.a.</x:v>
      </x:c>
      <x:c r="L90" s="89" t="str">
        <x:f>IF(AND(COUNT(F$7:F$12)=6,F$7&gt;=0,F$8&gt;=0,F$9&gt;-1,F$10&gt;=0,F$11&gt;=0,OR(F$12=0,F$12=1)),F$7+57*F$8,"n.a.")</x:f>
        <x:v>n.a.</x:v>
      </x:c>
    </x:row>
    <x:row r="91">
      <x:c r="C91" t="n">
        <x:v>58</x:v>
      </x:c>
      <x:c r="D91" s="89" t="str">
        <x:f>IF(AND(AND(COUNT(D$7:D$12)=6,D$7&gt;=0,D$8&gt;=0,D$9&gt;-1,D$10&gt;=0,D$11&gt;=0,OR(D$12=0,D$12=1)),ISNUMBER(D90)),D90*((1+D$9)^(1/12)+D$10/12*D$12-D$11/12)+D$8,"n.a.")</x:f>
        <x:v>n.a.</x:v>
      </x:c>
      <x:c r="E91" s="89" t="str">
        <x:f>IF(AND(AND(COUNT(D$7:D$12)=6,D$7&gt;=0,D$8&gt;=0,D$9&gt;-1,D$10&gt;=0,D$11&gt;=0,OR(D$12=0,D$12=1)),COUNT(E90,D90)=2),E90+D90*D$10/12*(1-D$12),"n.a.")</x:f>
        <x:v>n.a.</x:v>
      </x:c>
      <x:c r="F91" s="89" t="str">
        <x:f>IF(AND(COUNT(D$7:D$12)=6,D$7&gt;=0,D$8&gt;=0,D$9&gt;-1,D$10&gt;=0,D$11&gt;=0,OR(D$12=0,D$12=1)),D$7+58*D$8,"n.a.")</x:f>
        <x:v>n.a.</x:v>
      </x:c>
      <x:c r="G91" s="89" t="str">
        <x:f>IF(AND(AND(COUNT(E$7:E$12)=6,E$7&gt;=0,E$8&gt;=0,E$9&gt;-1,E$10&gt;=0,E$11&gt;=0,OR(E$12=0,E$12=1)),ISNUMBER(G90)),G90*((1+E$9)^(1/12)+E$10/12*E$12-E$11/12)+E$8,"n.a.")</x:f>
        <x:v>n.a.</x:v>
      </x:c>
      <x:c r="H91" s="89" t="str">
        <x:f>IF(AND(AND(COUNT(E$7:E$12)=6,E$7&gt;=0,E$8&gt;=0,E$9&gt;-1,E$10&gt;=0,E$11&gt;=0,OR(E$12=0,E$12=1)),COUNT(H90,G90)=2),H90+G90*E$10/12*(1-E$12),"n.a.")</x:f>
        <x:v>n.a.</x:v>
      </x:c>
      <x:c r="I91" s="89" t="str">
        <x:f>IF(AND(COUNT(E$7:E$12)=6,E$7&gt;=0,E$8&gt;=0,E$9&gt;-1,E$10&gt;=0,E$11&gt;=0,OR(E$12=0,E$12=1)),E$7+58*E$8,"n.a.")</x:f>
        <x:v>n.a.</x:v>
      </x:c>
      <x:c r="J91" s="89" t="str">
        <x:f>IF(AND(AND(COUNT(F$7:F$12)=6,F$7&gt;=0,F$8&gt;=0,F$9&gt;-1,F$10&gt;=0,F$11&gt;=0,OR(F$12=0,F$12=1)),ISNUMBER(J90)),J90*((1+F$9)^(1/12)+F$10/12*F$12-F$11/12)+F$8,"n.a.")</x:f>
        <x:v>n.a.</x:v>
      </x:c>
      <x:c r="K91" s="89" t="str">
        <x:f>IF(AND(AND(COUNT(F$7:F$12)=6,F$7&gt;=0,F$8&gt;=0,F$9&gt;-1,F$10&gt;=0,F$11&gt;=0,OR(F$12=0,F$12=1)),COUNT(K90,J90)=2),K90+J90*F$10/12*(1-F$12),"n.a.")</x:f>
        <x:v>n.a.</x:v>
      </x:c>
      <x:c r="L91" s="89" t="str">
        <x:f>IF(AND(COUNT(F$7:F$12)=6,F$7&gt;=0,F$8&gt;=0,F$9&gt;-1,F$10&gt;=0,F$11&gt;=0,OR(F$12=0,F$12=1)),F$7+58*F$8,"n.a.")</x:f>
        <x:v>n.a.</x:v>
      </x:c>
    </x:row>
    <x:row r="92">
      <x:c r="C92" t="n">
        <x:v>59</x:v>
      </x:c>
      <x:c r="D92" s="89" t="str">
        <x:f>IF(AND(AND(COUNT(D$7:D$12)=6,D$7&gt;=0,D$8&gt;=0,D$9&gt;-1,D$10&gt;=0,D$11&gt;=0,OR(D$12=0,D$12=1)),ISNUMBER(D91)),D91*((1+D$9)^(1/12)+D$10/12*D$12-D$11/12)+D$8,"n.a.")</x:f>
        <x:v>n.a.</x:v>
      </x:c>
      <x:c r="E92" s="89" t="str">
        <x:f>IF(AND(AND(COUNT(D$7:D$12)=6,D$7&gt;=0,D$8&gt;=0,D$9&gt;-1,D$10&gt;=0,D$11&gt;=0,OR(D$12=0,D$12=1)),COUNT(E91,D91)=2),E91+D91*D$10/12*(1-D$12),"n.a.")</x:f>
        <x:v>n.a.</x:v>
      </x:c>
      <x:c r="F92" s="89" t="str">
        <x:f>IF(AND(COUNT(D$7:D$12)=6,D$7&gt;=0,D$8&gt;=0,D$9&gt;-1,D$10&gt;=0,D$11&gt;=0,OR(D$12=0,D$12=1)),D$7+59*D$8,"n.a.")</x:f>
        <x:v>n.a.</x:v>
      </x:c>
      <x:c r="G92" s="89" t="str">
        <x:f>IF(AND(AND(COUNT(E$7:E$12)=6,E$7&gt;=0,E$8&gt;=0,E$9&gt;-1,E$10&gt;=0,E$11&gt;=0,OR(E$12=0,E$12=1)),ISNUMBER(G91)),G91*((1+E$9)^(1/12)+E$10/12*E$12-E$11/12)+E$8,"n.a.")</x:f>
        <x:v>n.a.</x:v>
      </x:c>
      <x:c r="H92" s="89" t="str">
        <x:f>IF(AND(AND(COUNT(E$7:E$12)=6,E$7&gt;=0,E$8&gt;=0,E$9&gt;-1,E$10&gt;=0,E$11&gt;=0,OR(E$12=0,E$12=1)),COUNT(H91,G91)=2),H91+G91*E$10/12*(1-E$12),"n.a.")</x:f>
        <x:v>n.a.</x:v>
      </x:c>
      <x:c r="I92" s="89" t="str">
        <x:f>IF(AND(COUNT(E$7:E$12)=6,E$7&gt;=0,E$8&gt;=0,E$9&gt;-1,E$10&gt;=0,E$11&gt;=0,OR(E$12=0,E$12=1)),E$7+59*E$8,"n.a.")</x:f>
        <x:v>n.a.</x:v>
      </x:c>
      <x:c r="J92" s="89" t="str">
        <x:f>IF(AND(AND(COUNT(F$7:F$12)=6,F$7&gt;=0,F$8&gt;=0,F$9&gt;-1,F$10&gt;=0,F$11&gt;=0,OR(F$12=0,F$12=1)),ISNUMBER(J91)),J91*((1+F$9)^(1/12)+F$10/12*F$12-F$11/12)+F$8,"n.a.")</x:f>
        <x:v>n.a.</x:v>
      </x:c>
      <x:c r="K92" s="89" t="str">
        <x:f>IF(AND(AND(COUNT(F$7:F$12)=6,F$7&gt;=0,F$8&gt;=0,F$9&gt;-1,F$10&gt;=0,F$11&gt;=0,OR(F$12=0,F$12=1)),COUNT(K91,J91)=2),K91+J91*F$10/12*(1-F$12),"n.a.")</x:f>
        <x:v>n.a.</x:v>
      </x:c>
      <x:c r="L92" s="89" t="str">
        <x:f>IF(AND(COUNT(F$7:F$12)=6,F$7&gt;=0,F$8&gt;=0,F$9&gt;-1,F$10&gt;=0,F$11&gt;=0,OR(F$12=0,F$12=1)),F$7+59*F$8,"n.a.")</x:f>
        <x:v>n.a.</x:v>
      </x:c>
    </x:row>
    <x:row r="93">
      <x:c r="C93" t="n">
        <x:v>60</x:v>
      </x:c>
      <x:c r="D93" s="89" t="str">
        <x:f>IF(AND(AND(COUNT(D$7:D$12)=6,D$7&gt;=0,D$8&gt;=0,D$9&gt;-1,D$10&gt;=0,D$11&gt;=0,OR(D$12=0,D$12=1)),ISNUMBER(D92)),D92*((1+D$9)^(1/12)+D$10/12*D$12-D$11/12)+D$8,"n.a.")</x:f>
        <x:v>n.a.</x:v>
      </x:c>
      <x:c r="E93" s="89" t="str">
        <x:f>IF(AND(AND(COUNT(D$7:D$12)=6,D$7&gt;=0,D$8&gt;=0,D$9&gt;-1,D$10&gt;=0,D$11&gt;=0,OR(D$12=0,D$12=1)),COUNT(E92,D92)=2),E92+D92*D$10/12*(1-D$12),"n.a.")</x:f>
        <x:v>n.a.</x:v>
      </x:c>
      <x:c r="F93" s="89" t="str">
        <x:f>IF(AND(COUNT(D$7:D$12)=6,D$7&gt;=0,D$8&gt;=0,D$9&gt;-1,D$10&gt;=0,D$11&gt;=0,OR(D$12=0,D$12=1)),D$7+60*D$8,"n.a.")</x:f>
        <x:v>n.a.</x:v>
      </x:c>
      <x:c r="G93" s="89" t="str">
        <x:f>IF(AND(AND(COUNT(E$7:E$12)=6,E$7&gt;=0,E$8&gt;=0,E$9&gt;-1,E$10&gt;=0,E$11&gt;=0,OR(E$12=0,E$12=1)),ISNUMBER(G92)),G92*((1+E$9)^(1/12)+E$10/12*E$12-E$11/12)+E$8,"n.a.")</x:f>
        <x:v>n.a.</x:v>
      </x:c>
      <x:c r="H93" s="89" t="str">
        <x:f>IF(AND(AND(COUNT(E$7:E$12)=6,E$7&gt;=0,E$8&gt;=0,E$9&gt;-1,E$10&gt;=0,E$11&gt;=0,OR(E$12=0,E$12=1)),COUNT(H92,G92)=2),H92+G92*E$10/12*(1-E$12),"n.a.")</x:f>
        <x:v>n.a.</x:v>
      </x:c>
      <x:c r="I93" s="89" t="str">
        <x:f>IF(AND(COUNT(E$7:E$12)=6,E$7&gt;=0,E$8&gt;=0,E$9&gt;-1,E$10&gt;=0,E$11&gt;=0,OR(E$12=0,E$12=1)),E$7+60*E$8,"n.a.")</x:f>
        <x:v>n.a.</x:v>
      </x:c>
      <x:c r="J93" s="89" t="str">
        <x:f>IF(AND(AND(COUNT(F$7:F$12)=6,F$7&gt;=0,F$8&gt;=0,F$9&gt;-1,F$10&gt;=0,F$11&gt;=0,OR(F$12=0,F$12=1)),ISNUMBER(J92)),J92*((1+F$9)^(1/12)+F$10/12*F$12-F$11/12)+F$8,"n.a.")</x:f>
        <x:v>n.a.</x:v>
      </x:c>
      <x:c r="K93" s="89" t="str">
        <x:f>IF(AND(AND(COUNT(F$7:F$12)=6,F$7&gt;=0,F$8&gt;=0,F$9&gt;-1,F$10&gt;=0,F$11&gt;=0,OR(F$12=0,F$12=1)),COUNT(K92,J92)=2),K92+J92*F$10/12*(1-F$12),"n.a.")</x:f>
        <x:v>n.a.</x:v>
      </x:c>
      <x:c r="L93" s="89" t="str">
        <x:f>IF(AND(COUNT(F$7:F$12)=6,F$7&gt;=0,F$8&gt;=0,F$9&gt;-1,F$10&gt;=0,F$11&gt;=0,OR(F$12=0,F$12=1)),F$7+60*F$8,"n.a.")</x:f>
        <x:v>n.a.</x:v>
      </x:c>
    </x:row>
    <x:row r="94">
      <x:c r="C94" t="n">
        <x:v>61</x:v>
      </x:c>
      <x:c r="D94" s="89" t="str">
        <x:f>IF(AND(AND(COUNT(D$7:D$12)=6,D$7&gt;=0,D$8&gt;=0,D$9&gt;-1,D$10&gt;=0,D$11&gt;=0,OR(D$12=0,D$12=1)),ISNUMBER(D93)),D93*((1+D$9)^(1/12)+D$10/12*D$12-D$11/12)+D$8,"n.a.")</x:f>
        <x:v>n.a.</x:v>
      </x:c>
      <x:c r="E94" s="89" t="str">
        <x:f>IF(AND(AND(COUNT(D$7:D$12)=6,D$7&gt;=0,D$8&gt;=0,D$9&gt;-1,D$10&gt;=0,D$11&gt;=0,OR(D$12=0,D$12=1)),COUNT(E93,D93)=2),E93+D93*D$10/12*(1-D$12),"n.a.")</x:f>
        <x:v>n.a.</x:v>
      </x:c>
      <x:c r="F94" s="89" t="str">
        <x:f>IF(AND(COUNT(D$7:D$12)=6,D$7&gt;=0,D$8&gt;=0,D$9&gt;-1,D$10&gt;=0,D$11&gt;=0,OR(D$12=0,D$12=1)),D$7+61*D$8,"n.a.")</x:f>
        <x:v>n.a.</x:v>
      </x:c>
      <x:c r="G94" s="89" t="str">
        <x:f>IF(AND(AND(COUNT(E$7:E$12)=6,E$7&gt;=0,E$8&gt;=0,E$9&gt;-1,E$10&gt;=0,E$11&gt;=0,OR(E$12=0,E$12=1)),ISNUMBER(G93)),G93*((1+E$9)^(1/12)+E$10/12*E$12-E$11/12)+E$8,"n.a.")</x:f>
        <x:v>n.a.</x:v>
      </x:c>
      <x:c r="H94" s="89" t="str">
        <x:f>IF(AND(AND(COUNT(E$7:E$12)=6,E$7&gt;=0,E$8&gt;=0,E$9&gt;-1,E$10&gt;=0,E$11&gt;=0,OR(E$12=0,E$12=1)),COUNT(H93,G93)=2),H93+G93*E$10/12*(1-E$12),"n.a.")</x:f>
        <x:v>n.a.</x:v>
      </x:c>
      <x:c r="I94" s="89" t="str">
        <x:f>IF(AND(COUNT(E$7:E$12)=6,E$7&gt;=0,E$8&gt;=0,E$9&gt;-1,E$10&gt;=0,E$11&gt;=0,OR(E$12=0,E$12=1)),E$7+61*E$8,"n.a.")</x:f>
        <x:v>n.a.</x:v>
      </x:c>
      <x:c r="J94" s="89" t="str">
        <x:f>IF(AND(AND(COUNT(F$7:F$12)=6,F$7&gt;=0,F$8&gt;=0,F$9&gt;-1,F$10&gt;=0,F$11&gt;=0,OR(F$12=0,F$12=1)),ISNUMBER(J93)),J93*((1+F$9)^(1/12)+F$10/12*F$12-F$11/12)+F$8,"n.a.")</x:f>
        <x:v>n.a.</x:v>
      </x:c>
      <x:c r="K94" s="89" t="str">
        <x:f>IF(AND(AND(COUNT(F$7:F$12)=6,F$7&gt;=0,F$8&gt;=0,F$9&gt;-1,F$10&gt;=0,F$11&gt;=0,OR(F$12=0,F$12=1)),COUNT(K93,J93)=2),K93+J93*F$10/12*(1-F$12),"n.a.")</x:f>
        <x:v>n.a.</x:v>
      </x:c>
      <x:c r="L94" s="89" t="str">
        <x:f>IF(AND(COUNT(F$7:F$12)=6,F$7&gt;=0,F$8&gt;=0,F$9&gt;-1,F$10&gt;=0,F$11&gt;=0,OR(F$12=0,F$12=1)),F$7+61*F$8,"n.a.")</x:f>
        <x:v>n.a.</x:v>
      </x:c>
    </x:row>
    <x:row r="95">
      <x:c r="C95" t="n">
        <x:v>62</x:v>
      </x:c>
      <x:c r="D95" s="89" t="str">
        <x:f>IF(AND(AND(COUNT(D$7:D$12)=6,D$7&gt;=0,D$8&gt;=0,D$9&gt;-1,D$10&gt;=0,D$11&gt;=0,OR(D$12=0,D$12=1)),ISNUMBER(D94)),D94*((1+D$9)^(1/12)+D$10/12*D$12-D$11/12)+D$8,"n.a.")</x:f>
        <x:v>n.a.</x:v>
      </x:c>
      <x:c r="E95" s="89" t="str">
        <x:f>IF(AND(AND(COUNT(D$7:D$12)=6,D$7&gt;=0,D$8&gt;=0,D$9&gt;-1,D$10&gt;=0,D$11&gt;=0,OR(D$12=0,D$12=1)),COUNT(E94,D94)=2),E94+D94*D$10/12*(1-D$12),"n.a.")</x:f>
        <x:v>n.a.</x:v>
      </x:c>
      <x:c r="F95" s="89" t="str">
        <x:f>IF(AND(COUNT(D$7:D$12)=6,D$7&gt;=0,D$8&gt;=0,D$9&gt;-1,D$10&gt;=0,D$11&gt;=0,OR(D$12=0,D$12=1)),D$7+62*D$8,"n.a.")</x:f>
        <x:v>n.a.</x:v>
      </x:c>
      <x:c r="G95" s="89" t="str">
        <x:f>IF(AND(AND(COUNT(E$7:E$12)=6,E$7&gt;=0,E$8&gt;=0,E$9&gt;-1,E$10&gt;=0,E$11&gt;=0,OR(E$12=0,E$12=1)),ISNUMBER(G94)),G94*((1+E$9)^(1/12)+E$10/12*E$12-E$11/12)+E$8,"n.a.")</x:f>
        <x:v>n.a.</x:v>
      </x:c>
      <x:c r="H95" s="89" t="str">
        <x:f>IF(AND(AND(COUNT(E$7:E$12)=6,E$7&gt;=0,E$8&gt;=0,E$9&gt;-1,E$10&gt;=0,E$11&gt;=0,OR(E$12=0,E$12=1)),COUNT(H94,G94)=2),H94+G94*E$10/12*(1-E$12),"n.a.")</x:f>
        <x:v>n.a.</x:v>
      </x:c>
      <x:c r="I95" s="89" t="str">
        <x:f>IF(AND(COUNT(E$7:E$12)=6,E$7&gt;=0,E$8&gt;=0,E$9&gt;-1,E$10&gt;=0,E$11&gt;=0,OR(E$12=0,E$12=1)),E$7+62*E$8,"n.a.")</x:f>
        <x:v>n.a.</x:v>
      </x:c>
      <x:c r="J95" s="89" t="str">
        <x:f>IF(AND(AND(COUNT(F$7:F$12)=6,F$7&gt;=0,F$8&gt;=0,F$9&gt;-1,F$10&gt;=0,F$11&gt;=0,OR(F$12=0,F$12=1)),ISNUMBER(J94)),J94*((1+F$9)^(1/12)+F$10/12*F$12-F$11/12)+F$8,"n.a.")</x:f>
        <x:v>n.a.</x:v>
      </x:c>
      <x:c r="K95" s="89" t="str">
        <x:f>IF(AND(AND(COUNT(F$7:F$12)=6,F$7&gt;=0,F$8&gt;=0,F$9&gt;-1,F$10&gt;=0,F$11&gt;=0,OR(F$12=0,F$12=1)),COUNT(K94,J94)=2),K94+J94*F$10/12*(1-F$12),"n.a.")</x:f>
        <x:v>n.a.</x:v>
      </x:c>
      <x:c r="L95" s="89" t="str">
        <x:f>IF(AND(COUNT(F$7:F$12)=6,F$7&gt;=0,F$8&gt;=0,F$9&gt;-1,F$10&gt;=0,F$11&gt;=0,OR(F$12=0,F$12=1)),F$7+62*F$8,"n.a.")</x:f>
        <x:v>n.a.</x:v>
      </x:c>
    </x:row>
    <x:row r="96">
      <x:c r="C96" t="n">
        <x:v>63</x:v>
      </x:c>
      <x:c r="D96" s="89" t="str">
        <x:f>IF(AND(AND(COUNT(D$7:D$12)=6,D$7&gt;=0,D$8&gt;=0,D$9&gt;-1,D$10&gt;=0,D$11&gt;=0,OR(D$12=0,D$12=1)),ISNUMBER(D95)),D95*((1+D$9)^(1/12)+D$10/12*D$12-D$11/12)+D$8,"n.a.")</x:f>
        <x:v>n.a.</x:v>
      </x:c>
      <x:c r="E96" s="89" t="str">
        <x:f>IF(AND(AND(COUNT(D$7:D$12)=6,D$7&gt;=0,D$8&gt;=0,D$9&gt;-1,D$10&gt;=0,D$11&gt;=0,OR(D$12=0,D$12=1)),COUNT(E95,D95)=2),E95+D95*D$10/12*(1-D$12),"n.a.")</x:f>
        <x:v>n.a.</x:v>
      </x:c>
      <x:c r="F96" s="89" t="str">
        <x:f>IF(AND(COUNT(D$7:D$12)=6,D$7&gt;=0,D$8&gt;=0,D$9&gt;-1,D$10&gt;=0,D$11&gt;=0,OR(D$12=0,D$12=1)),D$7+63*D$8,"n.a.")</x:f>
        <x:v>n.a.</x:v>
      </x:c>
      <x:c r="G96" s="89" t="str">
        <x:f>IF(AND(AND(COUNT(E$7:E$12)=6,E$7&gt;=0,E$8&gt;=0,E$9&gt;-1,E$10&gt;=0,E$11&gt;=0,OR(E$12=0,E$12=1)),ISNUMBER(G95)),G95*((1+E$9)^(1/12)+E$10/12*E$12-E$11/12)+E$8,"n.a.")</x:f>
        <x:v>n.a.</x:v>
      </x:c>
      <x:c r="H96" s="89" t="str">
        <x:f>IF(AND(AND(COUNT(E$7:E$12)=6,E$7&gt;=0,E$8&gt;=0,E$9&gt;-1,E$10&gt;=0,E$11&gt;=0,OR(E$12=0,E$12=1)),COUNT(H95,G95)=2),H95+G95*E$10/12*(1-E$12),"n.a.")</x:f>
        <x:v>n.a.</x:v>
      </x:c>
      <x:c r="I96" s="89" t="str">
        <x:f>IF(AND(COUNT(E$7:E$12)=6,E$7&gt;=0,E$8&gt;=0,E$9&gt;-1,E$10&gt;=0,E$11&gt;=0,OR(E$12=0,E$12=1)),E$7+63*E$8,"n.a.")</x:f>
        <x:v>n.a.</x:v>
      </x:c>
      <x:c r="J96" s="89" t="str">
        <x:f>IF(AND(AND(COUNT(F$7:F$12)=6,F$7&gt;=0,F$8&gt;=0,F$9&gt;-1,F$10&gt;=0,F$11&gt;=0,OR(F$12=0,F$12=1)),ISNUMBER(J95)),J95*((1+F$9)^(1/12)+F$10/12*F$12-F$11/12)+F$8,"n.a.")</x:f>
        <x:v>n.a.</x:v>
      </x:c>
      <x:c r="K96" s="89" t="str">
        <x:f>IF(AND(AND(COUNT(F$7:F$12)=6,F$7&gt;=0,F$8&gt;=0,F$9&gt;-1,F$10&gt;=0,F$11&gt;=0,OR(F$12=0,F$12=1)),COUNT(K95,J95)=2),K95+J95*F$10/12*(1-F$12),"n.a.")</x:f>
        <x:v>n.a.</x:v>
      </x:c>
      <x:c r="L96" s="89" t="str">
        <x:f>IF(AND(COUNT(F$7:F$12)=6,F$7&gt;=0,F$8&gt;=0,F$9&gt;-1,F$10&gt;=0,F$11&gt;=0,OR(F$12=0,F$12=1)),F$7+63*F$8,"n.a.")</x:f>
        <x:v>n.a.</x:v>
      </x:c>
    </x:row>
    <x:row r="97">
      <x:c r="C97" t="n">
        <x:v>64</x:v>
      </x:c>
      <x:c r="D97" s="89" t="str">
        <x:f>IF(AND(AND(COUNT(D$7:D$12)=6,D$7&gt;=0,D$8&gt;=0,D$9&gt;-1,D$10&gt;=0,D$11&gt;=0,OR(D$12=0,D$12=1)),ISNUMBER(D96)),D96*((1+D$9)^(1/12)+D$10/12*D$12-D$11/12)+D$8,"n.a.")</x:f>
        <x:v>n.a.</x:v>
      </x:c>
      <x:c r="E97" s="89" t="str">
        <x:f>IF(AND(AND(COUNT(D$7:D$12)=6,D$7&gt;=0,D$8&gt;=0,D$9&gt;-1,D$10&gt;=0,D$11&gt;=0,OR(D$12=0,D$12=1)),COUNT(E96,D96)=2),E96+D96*D$10/12*(1-D$12),"n.a.")</x:f>
        <x:v>n.a.</x:v>
      </x:c>
      <x:c r="F97" s="89" t="str">
        <x:f>IF(AND(COUNT(D$7:D$12)=6,D$7&gt;=0,D$8&gt;=0,D$9&gt;-1,D$10&gt;=0,D$11&gt;=0,OR(D$12=0,D$12=1)),D$7+64*D$8,"n.a.")</x:f>
        <x:v>n.a.</x:v>
      </x:c>
      <x:c r="G97" s="89" t="str">
        <x:f>IF(AND(AND(COUNT(E$7:E$12)=6,E$7&gt;=0,E$8&gt;=0,E$9&gt;-1,E$10&gt;=0,E$11&gt;=0,OR(E$12=0,E$12=1)),ISNUMBER(G96)),G96*((1+E$9)^(1/12)+E$10/12*E$12-E$11/12)+E$8,"n.a.")</x:f>
        <x:v>n.a.</x:v>
      </x:c>
      <x:c r="H97" s="89" t="str">
        <x:f>IF(AND(AND(COUNT(E$7:E$12)=6,E$7&gt;=0,E$8&gt;=0,E$9&gt;-1,E$10&gt;=0,E$11&gt;=0,OR(E$12=0,E$12=1)),COUNT(H96,G96)=2),H96+G96*E$10/12*(1-E$12),"n.a.")</x:f>
        <x:v>n.a.</x:v>
      </x:c>
      <x:c r="I97" s="89" t="str">
        <x:f>IF(AND(COUNT(E$7:E$12)=6,E$7&gt;=0,E$8&gt;=0,E$9&gt;-1,E$10&gt;=0,E$11&gt;=0,OR(E$12=0,E$12=1)),E$7+64*E$8,"n.a.")</x:f>
        <x:v>n.a.</x:v>
      </x:c>
      <x:c r="J97" s="89" t="str">
        <x:f>IF(AND(AND(COUNT(F$7:F$12)=6,F$7&gt;=0,F$8&gt;=0,F$9&gt;-1,F$10&gt;=0,F$11&gt;=0,OR(F$12=0,F$12=1)),ISNUMBER(J96)),J96*((1+F$9)^(1/12)+F$10/12*F$12-F$11/12)+F$8,"n.a.")</x:f>
        <x:v>n.a.</x:v>
      </x:c>
      <x:c r="K97" s="89" t="str">
        <x:f>IF(AND(AND(COUNT(F$7:F$12)=6,F$7&gt;=0,F$8&gt;=0,F$9&gt;-1,F$10&gt;=0,F$11&gt;=0,OR(F$12=0,F$12=1)),COUNT(K96,J96)=2),K96+J96*F$10/12*(1-F$12),"n.a.")</x:f>
        <x:v>n.a.</x:v>
      </x:c>
      <x:c r="L97" s="89" t="str">
        <x:f>IF(AND(COUNT(F$7:F$12)=6,F$7&gt;=0,F$8&gt;=0,F$9&gt;-1,F$10&gt;=0,F$11&gt;=0,OR(F$12=0,F$12=1)),F$7+64*F$8,"n.a.")</x:f>
        <x:v>n.a.</x:v>
      </x:c>
    </x:row>
    <x:row r="98">
      <x:c r="C98" t="n">
        <x:v>65</x:v>
      </x:c>
      <x:c r="D98" s="89" t="str">
        <x:f>IF(AND(AND(COUNT(D$7:D$12)=6,D$7&gt;=0,D$8&gt;=0,D$9&gt;-1,D$10&gt;=0,D$11&gt;=0,OR(D$12=0,D$12=1)),ISNUMBER(D97)),D97*((1+D$9)^(1/12)+D$10/12*D$12-D$11/12)+D$8,"n.a.")</x:f>
        <x:v>n.a.</x:v>
      </x:c>
      <x:c r="E98" s="89" t="str">
        <x:f>IF(AND(AND(COUNT(D$7:D$12)=6,D$7&gt;=0,D$8&gt;=0,D$9&gt;-1,D$10&gt;=0,D$11&gt;=0,OR(D$12=0,D$12=1)),COUNT(E97,D97)=2),E97+D97*D$10/12*(1-D$12),"n.a.")</x:f>
        <x:v>n.a.</x:v>
      </x:c>
      <x:c r="F98" s="89" t="str">
        <x:f>IF(AND(COUNT(D$7:D$12)=6,D$7&gt;=0,D$8&gt;=0,D$9&gt;-1,D$10&gt;=0,D$11&gt;=0,OR(D$12=0,D$12=1)),D$7+65*D$8,"n.a.")</x:f>
        <x:v>n.a.</x:v>
      </x:c>
      <x:c r="G98" s="89" t="str">
        <x:f>IF(AND(AND(COUNT(E$7:E$12)=6,E$7&gt;=0,E$8&gt;=0,E$9&gt;-1,E$10&gt;=0,E$11&gt;=0,OR(E$12=0,E$12=1)),ISNUMBER(G97)),G97*((1+E$9)^(1/12)+E$10/12*E$12-E$11/12)+E$8,"n.a.")</x:f>
        <x:v>n.a.</x:v>
      </x:c>
      <x:c r="H98" s="89" t="str">
        <x:f>IF(AND(AND(COUNT(E$7:E$12)=6,E$7&gt;=0,E$8&gt;=0,E$9&gt;-1,E$10&gt;=0,E$11&gt;=0,OR(E$12=0,E$12=1)),COUNT(H97,G97)=2),H97+G97*E$10/12*(1-E$12),"n.a.")</x:f>
        <x:v>n.a.</x:v>
      </x:c>
      <x:c r="I98" s="89" t="str">
        <x:f>IF(AND(COUNT(E$7:E$12)=6,E$7&gt;=0,E$8&gt;=0,E$9&gt;-1,E$10&gt;=0,E$11&gt;=0,OR(E$12=0,E$12=1)),E$7+65*E$8,"n.a.")</x:f>
        <x:v>n.a.</x:v>
      </x:c>
      <x:c r="J98" s="89" t="str">
        <x:f>IF(AND(AND(COUNT(F$7:F$12)=6,F$7&gt;=0,F$8&gt;=0,F$9&gt;-1,F$10&gt;=0,F$11&gt;=0,OR(F$12=0,F$12=1)),ISNUMBER(J97)),J97*((1+F$9)^(1/12)+F$10/12*F$12-F$11/12)+F$8,"n.a.")</x:f>
        <x:v>n.a.</x:v>
      </x:c>
      <x:c r="K98" s="89" t="str">
        <x:f>IF(AND(AND(COUNT(F$7:F$12)=6,F$7&gt;=0,F$8&gt;=0,F$9&gt;-1,F$10&gt;=0,F$11&gt;=0,OR(F$12=0,F$12=1)),COUNT(K97,J97)=2),K97+J97*F$10/12*(1-F$12),"n.a.")</x:f>
        <x:v>n.a.</x:v>
      </x:c>
      <x:c r="L98" s="89" t="str">
        <x:f>IF(AND(COUNT(F$7:F$12)=6,F$7&gt;=0,F$8&gt;=0,F$9&gt;-1,F$10&gt;=0,F$11&gt;=0,OR(F$12=0,F$12=1)),F$7+65*F$8,"n.a.")</x:f>
        <x:v>n.a.</x:v>
      </x:c>
    </x:row>
    <x:row r="99">
      <x:c r="C99" t="n">
        <x:v>66</x:v>
      </x:c>
      <x:c r="D99" s="89" t="str">
        <x:f>IF(AND(AND(COUNT(D$7:D$12)=6,D$7&gt;=0,D$8&gt;=0,D$9&gt;-1,D$10&gt;=0,D$11&gt;=0,OR(D$12=0,D$12=1)),ISNUMBER(D98)),D98*((1+D$9)^(1/12)+D$10/12*D$12-D$11/12)+D$8,"n.a.")</x:f>
        <x:v>n.a.</x:v>
      </x:c>
      <x:c r="E99" s="89" t="str">
        <x:f>IF(AND(AND(COUNT(D$7:D$12)=6,D$7&gt;=0,D$8&gt;=0,D$9&gt;-1,D$10&gt;=0,D$11&gt;=0,OR(D$12=0,D$12=1)),COUNT(E98,D98)=2),E98+D98*D$10/12*(1-D$12),"n.a.")</x:f>
        <x:v>n.a.</x:v>
      </x:c>
      <x:c r="F99" s="89" t="str">
        <x:f>IF(AND(COUNT(D$7:D$12)=6,D$7&gt;=0,D$8&gt;=0,D$9&gt;-1,D$10&gt;=0,D$11&gt;=0,OR(D$12=0,D$12=1)),D$7+66*D$8,"n.a.")</x:f>
        <x:v>n.a.</x:v>
      </x:c>
      <x:c r="G99" s="89" t="str">
        <x:f>IF(AND(AND(COUNT(E$7:E$12)=6,E$7&gt;=0,E$8&gt;=0,E$9&gt;-1,E$10&gt;=0,E$11&gt;=0,OR(E$12=0,E$12=1)),ISNUMBER(G98)),G98*((1+E$9)^(1/12)+E$10/12*E$12-E$11/12)+E$8,"n.a.")</x:f>
        <x:v>n.a.</x:v>
      </x:c>
      <x:c r="H99" s="89" t="str">
        <x:f>IF(AND(AND(COUNT(E$7:E$12)=6,E$7&gt;=0,E$8&gt;=0,E$9&gt;-1,E$10&gt;=0,E$11&gt;=0,OR(E$12=0,E$12=1)),COUNT(H98,G98)=2),H98+G98*E$10/12*(1-E$12),"n.a.")</x:f>
        <x:v>n.a.</x:v>
      </x:c>
      <x:c r="I99" s="89" t="str">
        <x:f>IF(AND(COUNT(E$7:E$12)=6,E$7&gt;=0,E$8&gt;=0,E$9&gt;-1,E$10&gt;=0,E$11&gt;=0,OR(E$12=0,E$12=1)),E$7+66*E$8,"n.a.")</x:f>
        <x:v>n.a.</x:v>
      </x:c>
      <x:c r="J99" s="89" t="str">
        <x:f>IF(AND(AND(COUNT(F$7:F$12)=6,F$7&gt;=0,F$8&gt;=0,F$9&gt;-1,F$10&gt;=0,F$11&gt;=0,OR(F$12=0,F$12=1)),ISNUMBER(J98)),J98*((1+F$9)^(1/12)+F$10/12*F$12-F$11/12)+F$8,"n.a.")</x:f>
        <x:v>n.a.</x:v>
      </x:c>
      <x:c r="K99" s="89" t="str">
        <x:f>IF(AND(AND(COUNT(F$7:F$12)=6,F$7&gt;=0,F$8&gt;=0,F$9&gt;-1,F$10&gt;=0,F$11&gt;=0,OR(F$12=0,F$12=1)),COUNT(K98,J98)=2),K98+J98*F$10/12*(1-F$12),"n.a.")</x:f>
        <x:v>n.a.</x:v>
      </x:c>
      <x:c r="L99" s="89" t="str">
        <x:f>IF(AND(COUNT(F$7:F$12)=6,F$7&gt;=0,F$8&gt;=0,F$9&gt;-1,F$10&gt;=0,F$11&gt;=0,OR(F$12=0,F$12=1)),F$7+66*F$8,"n.a.")</x:f>
        <x:v>n.a.</x:v>
      </x:c>
    </x:row>
    <x:row r="100">
      <x:c r="C100" t="n">
        <x:v>67</x:v>
      </x:c>
      <x:c r="D100" s="89" t="str">
        <x:f>IF(AND(AND(COUNT(D$7:D$12)=6,D$7&gt;=0,D$8&gt;=0,D$9&gt;-1,D$10&gt;=0,D$11&gt;=0,OR(D$12=0,D$12=1)),ISNUMBER(D99)),D99*((1+D$9)^(1/12)+D$10/12*D$12-D$11/12)+D$8,"n.a.")</x:f>
        <x:v>n.a.</x:v>
      </x:c>
      <x:c r="E100" s="89" t="str">
        <x:f>IF(AND(AND(COUNT(D$7:D$12)=6,D$7&gt;=0,D$8&gt;=0,D$9&gt;-1,D$10&gt;=0,D$11&gt;=0,OR(D$12=0,D$12=1)),COUNT(E99,D99)=2),E99+D99*D$10/12*(1-D$12),"n.a.")</x:f>
        <x:v>n.a.</x:v>
      </x:c>
      <x:c r="F100" s="89" t="str">
        <x:f>IF(AND(COUNT(D$7:D$12)=6,D$7&gt;=0,D$8&gt;=0,D$9&gt;-1,D$10&gt;=0,D$11&gt;=0,OR(D$12=0,D$12=1)),D$7+67*D$8,"n.a.")</x:f>
        <x:v>n.a.</x:v>
      </x:c>
      <x:c r="G100" s="89" t="str">
        <x:f>IF(AND(AND(COUNT(E$7:E$12)=6,E$7&gt;=0,E$8&gt;=0,E$9&gt;-1,E$10&gt;=0,E$11&gt;=0,OR(E$12=0,E$12=1)),ISNUMBER(G99)),G99*((1+E$9)^(1/12)+E$10/12*E$12-E$11/12)+E$8,"n.a.")</x:f>
        <x:v>n.a.</x:v>
      </x:c>
      <x:c r="H100" s="89" t="str">
        <x:f>IF(AND(AND(COUNT(E$7:E$12)=6,E$7&gt;=0,E$8&gt;=0,E$9&gt;-1,E$10&gt;=0,E$11&gt;=0,OR(E$12=0,E$12=1)),COUNT(H99,G99)=2),H99+G99*E$10/12*(1-E$12),"n.a.")</x:f>
        <x:v>n.a.</x:v>
      </x:c>
      <x:c r="I100" s="89" t="str">
        <x:f>IF(AND(COUNT(E$7:E$12)=6,E$7&gt;=0,E$8&gt;=0,E$9&gt;-1,E$10&gt;=0,E$11&gt;=0,OR(E$12=0,E$12=1)),E$7+67*E$8,"n.a.")</x:f>
        <x:v>n.a.</x:v>
      </x:c>
      <x:c r="J100" s="89" t="str">
        <x:f>IF(AND(AND(COUNT(F$7:F$12)=6,F$7&gt;=0,F$8&gt;=0,F$9&gt;-1,F$10&gt;=0,F$11&gt;=0,OR(F$12=0,F$12=1)),ISNUMBER(J99)),J99*((1+F$9)^(1/12)+F$10/12*F$12-F$11/12)+F$8,"n.a.")</x:f>
        <x:v>n.a.</x:v>
      </x:c>
      <x:c r="K100" s="89" t="str">
        <x:f>IF(AND(AND(COUNT(F$7:F$12)=6,F$7&gt;=0,F$8&gt;=0,F$9&gt;-1,F$10&gt;=0,F$11&gt;=0,OR(F$12=0,F$12=1)),COUNT(K99,J99)=2),K99+J99*F$10/12*(1-F$12),"n.a.")</x:f>
        <x:v>n.a.</x:v>
      </x:c>
      <x:c r="L100" s="89" t="str">
        <x:f>IF(AND(COUNT(F$7:F$12)=6,F$7&gt;=0,F$8&gt;=0,F$9&gt;-1,F$10&gt;=0,F$11&gt;=0,OR(F$12=0,F$12=1)),F$7+67*F$8,"n.a.")</x:f>
        <x:v>n.a.</x:v>
      </x:c>
    </x:row>
    <x:row r="101">
      <x:c r="C101" t="n">
        <x:v>68</x:v>
      </x:c>
      <x:c r="D101" s="89" t="str">
        <x:f>IF(AND(AND(COUNT(D$7:D$12)=6,D$7&gt;=0,D$8&gt;=0,D$9&gt;-1,D$10&gt;=0,D$11&gt;=0,OR(D$12=0,D$12=1)),ISNUMBER(D100)),D100*((1+D$9)^(1/12)+D$10/12*D$12-D$11/12)+D$8,"n.a.")</x:f>
        <x:v>n.a.</x:v>
      </x:c>
      <x:c r="E101" s="89" t="str">
        <x:f>IF(AND(AND(COUNT(D$7:D$12)=6,D$7&gt;=0,D$8&gt;=0,D$9&gt;-1,D$10&gt;=0,D$11&gt;=0,OR(D$12=0,D$12=1)),COUNT(E100,D100)=2),E100+D100*D$10/12*(1-D$12),"n.a.")</x:f>
        <x:v>n.a.</x:v>
      </x:c>
      <x:c r="F101" s="89" t="str">
        <x:f>IF(AND(COUNT(D$7:D$12)=6,D$7&gt;=0,D$8&gt;=0,D$9&gt;-1,D$10&gt;=0,D$11&gt;=0,OR(D$12=0,D$12=1)),D$7+68*D$8,"n.a.")</x:f>
        <x:v>n.a.</x:v>
      </x:c>
      <x:c r="G101" s="89" t="str">
        <x:f>IF(AND(AND(COUNT(E$7:E$12)=6,E$7&gt;=0,E$8&gt;=0,E$9&gt;-1,E$10&gt;=0,E$11&gt;=0,OR(E$12=0,E$12=1)),ISNUMBER(G100)),G100*((1+E$9)^(1/12)+E$10/12*E$12-E$11/12)+E$8,"n.a.")</x:f>
        <x:v>n.a.</x:v>
      </x:c>
      <x:c r="H101" s="89" t="str">
        <x:f>IF(AND(AND(COUNT(E$7:E$12)=6,E$7&gt;=0,E$8&gt;=0,E$9&gt;-1,E$10&gt;=0,E$11&gt;=0,OR(E$12=0,E$12=1)),COUNT(H100,G100)=2),H100+G100*E$10/12*(1-E$12),"n.a.")</x:f>
        <x:v>n.a.</x:v>
      </x:c>
      <x:c r="I101" s="89" t="str">
        <x:f>IF(AND(COUNT(E$7:E$12)=6,E$7&gt;=0,E$8&gt;=0,E$9&gt;-1,E$10&gt;=0,E$11&gt;=0,OR(E$12=0,E$12=1)),E$7+68*E$8,"n.a.")</x:f>
        <x:v>n.a.</x:v>
      </x:c>
      <x:c r="J101" s="89" t="str">
        <x:f>IF(AND(AND(COUNT(F$7:F$12)=6,F$7&gt;=0,F$8&gt;=0,F$9&gt;-1,F$10&gt;=0,F$11&gt;=0,OR(F$12=0,F$12=1)),ISNUMBER(J100)),J100*((1+F$9)^(1/12)+F$10/12*F$12-F$11/12)+F$8,"n.a.")</x:f>
        <x:v>n.a.</x:v>
      </x:c>
      <x:c r="K101" s="89" t="str">
        <x:f>IF(AND(AND(COUNT(F$7:F$12)=6,F$7&gt;=0,F$8&gt;=0,F$9&gt;-1,F$10&gt;=0,F$11&gt;=0,OR(F$12=0,F$12=1)),COUNT(K100,J100)=2),K100+J100*F$10/12*(1-F$12),"n.a.")</x:f>
        <x:v>n.a.</x:v>
      </x:c>
      <x:c r="L101" s="89" t="str">
        <x:f>IF(AND(COUNT(F$7:F$12)=6,F$7&gt;=0,F$8&gt;=0,F$9&gt;-1,F$10&gt;=0,F$11&gt;=0,OR(F$12=0,F$12=1)),F$7+68*F$8,"n.a.")</x:f>
        <x:v>n.a.</x:v>
      </x:c>
    </x:row>
    <x:row r="102">
      <x:c r="C102" t="n">
        <x:v>69</x:v>
      </x:c>
      <x:c r="D102" s="89" t="str">
        <x:f>IF(AND(AND(COUNT(D$7:D$12)=6,D$7&gt;=0,D$8&gt;=0,D$9&gt;-1,D$10&gt;=0,D$11&gt;=0,OR(D$12=0,D$12=1)),ISNUMBER(D101)),D101*((1+D$9)^(1/12)+D$10/12*D$12-D$11/12)+D$8,"n.a.")</x:f>
        <x:v>n.a.</x:v>
      </x:c>
      <x:c r="E102" s="89" t="str">
        <x:f>IF(AND(AND(COUNT(D$7:D$12)=6,D$7&gt;=0,D$8&gt;=0,D$9&gt;-1,D$10&gt;=0,D$11&gt;=0,OR(D$12=0,D$12=1)),COUNT(E101,D101)=2),E101+D101*D$10/12*(1-D$12),"n.a.")</x:f>
        <x:v>n.a.</x:v>
      </x:c>
      <x:c r="F102" s="89" t="str">
        <x:f>IF(AND(COUNT(D$7:D$12)=6,D$7&gt;=0,D$8&gt;=0,D$9&gt;-1,D$10&gt;=0,D$11&gt;=0,OR(D$12=0,D$12=1)),D$7+69*D$8,"n.a.")</x:f>
        <x:v>n.a.</x:v>
      </x:c>
      <x:c r="G102" s="89" t="str">
        <x:f>IF(AND(AND(COUNT(E$7:E$12)=6,E$7&gt;=0,E$8&gt;=0,E$9&gt;-1,E$10&gt;=0,E$11&gt;=0,OR(E$12=0,E$12=1)),ISNUMBER(G101)),G101*((1+E$9)^(1/12)+E$10/12*E$12-E$11/12)+E$8,"n.a.")</x:f>
        <x:v>n.a.</x:v>
      </x:c>
      <x:c r="H102" s="89" t="str">
        <x:f>IF(AND(AND(COUNT(E$7:E$12)=6,E$7&gt;=0,E$8&gt;=0,E$9&gt;-1,E$10&gt;=0,E$11&gt;=0,OR(E$12=0,E$12=1)),COUNT(H101,G101)=2),H101+G101*E$10/12*(1-E$12),"n.a.")</x:f>
        <x:v>n.a.</x:v>
      </x:c>
      <x:c r="I102" s="89" t="str">
        <x:f>IF(AND(COUNT(E$7:E$12)=6,E$7&gt;=0,E$8&gt;=0,E$9&gt;-1,E$10&gt;=0,E$11&gt;=0,OR(E$12=0,E$12=1)),E$7+69*E$8,"n.a.")</x:f>
        <x:v>n.a.</x:v>
      </x:c>
      <x:c r="J102" s="89" t="str">
        <x:f>IF(AND(AND(COUNT(F$7:F$12)=6,F$7&gt;=0,F$8&gt;=0,F$9&gt;-1,F$10&gt;=0,F$11&gt;=0,OR(F$12=0,F$12=1)),ISNUMBER(J101)),J101*((1+F$9)^(1/12)+F$10/12*F$12-F$11/12)+F$8,"n.a.")</x:f>
        <x:v>n.a.</x:v>
      </x:c>
      <x:c r="K102" s="89" t="str">
        <x:f>IF(AND(AND(COUNT(F$7:F$12)=6,F$7&gt;=0,F$8&gt;=0,F$9&gt;-1,F$10&gt;=0,F$11&gt;=0,OR(F$12=0,F$12=1)),COUNT(K101,J101)=2),K101+J101*F$10/12*(1-F$12),"n.a.")</x:f>
        <x:v>n.a.</x:v>
      </x:c>
      <x:c r="L102" s="89" t="str">
        <x:f>IF(AND(COUNT(F$7:F$12)=6,F$7&gt;=0,F$8&gt;=0,F$9&gt;-1,F$10&gt;=0,F$11&gt;=0,OR(F$12=0,F$12=1)),F$7+69*F$8,"n.a.")</x:f>
        <x:v>n.a.</x:v>
      </x:c>
    </x:row>
    <x:row r="103">
      <x:c r="C103" t="n">
        <x:v>70</x:v>
      </x:c>
      <x:c r="D103" s="89" t="str">
        <x:f>IF(AND(AND(COUNT(D$7:D$12)=6,D$7&gt;=0,D$8&gt;=0,D$9&gt;-1,D$10&gt;=0,D$11&gt;=0,OR(D$12=0,D$12=1)),ISNUMBER(D102)),D102*((1+D$9)^(1/12)+D$10/12*D$12-D$11/12)+D$8,"n.a.")</x:f>
        <x:v>n.a.</x:v>
      </x:c>
      <x:c r="E103" s="89" t="str">
        <x:f>IF(AND(AND(COUNT(D$7:D$12)=6,D$7&gt;=0,D$8&gt;=0,D$9&gt;-1,D$10&gt;=0,D$11&gt;=0,OR(D$12=0,D$12=1)),COUNT(E102,D102)=2),E102+D102*D$10/12*(1-D$12),"n.a.")</x:f>
        <x:v>n.a.</x:v>
      </x:c>
      <x:c r="F103" s="89" t="str">
        <x:f>IF(AND(COUNT(D$7:D$12)=6,D$7&gt;=0,D$8&gt;=0,D$9&gt;-1,D$10&gt;=0,D$11&gt;=0,OR(D$12=0,D$12=1)),D$7+70*D$8,"n.a.")</x:f>
        <x:v>n.a.</x:v>
      </x:c>
      <x:c r="G103" s="89" t="str">
        <x:f>IF(AND(AND(COUNT(E$7:E$12)=6,E$7&gt;=0,E$8&gt;=0,E$9&gt;-1,E$10&gt;=0,E$11&gt;=0,OR(E$12=0,E$12=1)),ISNUMBER(G102)),G102*((1+E$9)^(1/12)+E$10/12*E$12-E$11/12)+E$8,"n.a.")</x:f>
        <x:v>n.a.</x:v>
      </x:c>
      <x:c r="H103" s="89" t="str">
        <x:f>IF(AND(AND(COUNT(E$7:E$12)=6,E$7&gt;=0,E$8&gt;=0,E$9&gt;-1,E$10&gt;=0,E$11&gt;=0,OR(E$12=0,E$12=1)),COUNT(H102,G102)=2),H102+G102*E$10/12*(1-E$12),"n.a.")</x:f>
        <x:v>n.a.</x:v>
      </x:c>
      <x:c r="I103" s="89" t="str">
        <x:f>IF(AND(COUNT(E$7:E$12)=6,E$7&gt;=0,E$8&gt;=0,E$9&gt;-1,E$10&gt;=0,E$11&gt;=0,OR(E$12=0,E$12=1)),E$7+70*E$8,"n.a.")</x:f>
        <x:v>n.a.</x:v>
      </x:c>
      <x:c r="J103" s="89" t="str">
        <x:f>IF(AND(AND(COUNT(F$7:F$12)=6,F$7&gt;=0,F$8&gt;=0,F$9&gt;-1,F$10&gt;=0,F$11&gt;=0,OR(F$12=0,F$12=1)),ISNUMBER(J102)),J102*((1+F$9)^(1/12)+F$10/12*F$12-F$11/12)+F$8,"n.a.")</x:f>
        <x:v>n.a.</x:v>
      </x:c>
      <x:c r="K103" s="89" t="str">
        <x:f>IF(AND(AND(COUNT(F$7:F$12)=6,F$7&gt;=0,F$8&gt;=0,F$9&gt;-1,F$10&gt;=0,F$11&gt;=0,OR(F$12=0,F$12=1)),COUNT(K102,J102)=2),K102+J102*F$10/12*(1-F$12),"n.a.")</x:f>
        <x:v>n.a.</x:v>
      </x:c>
      <x:c r="L103" s="89" t="str">
        <x:f>IF(AND(COUNT(F$7:F$12)=6,F$7&gt;=0,F$8&gt;=0,F$9&gt;-1,F$10&gt;=0,F$11&gt;=0,OR(F$12=0,F$12=1)),F$7+70*F$8,"n.a.")</x:f>
        <x:v>n.a.</x:v>
      </x:c>
    </x:row>
    <x:row r="104">
      <x:c r="C104" t="n">
        <x:v>71</x:v>
      </x:c>
      <x:c r="D104" s="89" t="str">
        <x:f>IF(AND(AND(COUNT(D$7:D$12)=6,D$7&gt;=0,D$8&gt;=0,D$9&gt;-1,D$10&gt;=0,D$11&gt;=0,OR(D$12=0,D$12=1)),ISNUMBER(D103)),D103*((1+D$9)^(1/12)+D$10/12*D$12-D$11/12)+D$8,"n.a.")</x:f>
        <x:v>n.a.</x:v>
      </x:c>
      <x:c r="E104" s="89" t="str">
        <x:f>IF(AND(AND(COUNT(D$7:D$12)=6,D$7&gt;=0,D$8&gt;=0,D$9&gt;-1,D$10&gt;=0,D$11&gt;=0,OR(D$12=0,D$12=1)),COUNT(E103,D103)=2),E103+D103*D$10/12*(1-D$12),"n.a.")</x:f>
        <x:v>n.a.</x:v>
      </x:c>
      <x:c r="F104" s="89" t="str">
        <x:f>IF(AND(COUNT(D$7:D$12)=6,D$7&gt;=0,D$8&gt;=0,D$9&gt;-1,D$10&gt;=0,D$11&gt;=0,OR(D$12=0,D$12=1)),D$7+71*D$8,"n.a.")</x:f>
        <x:v>n.a.</x:v>
      </x:c>
      <x:c r="G104" s="89" t="str">
        <x:f>IF(AND(AND(COUNT(E$7:E$12)=6,E$7&gt;=0,E$8&gt;=0,E$9&gt;-1,E$10&gt;=0,E$11&gt;=0,OR(E$12=0,E$12=1)),ISNUMBER(G103)),G103*((1+E$9)^(1/12)+E$10/12*E$12-E$11/12)+E$8,"n.a.")</x:f>
        <x:v>n.a.</x:v>
      </x:c>
      <x:c r="H104" s="89" t="str">
        <x:f>IF(AND(AND(COUNT(E$7:E$12)=6,E$7&gt;=0,E$8&gt;=0,E$9&gt;-1,E$10&gt;=0,E$11&gt;=0,OR(E$12=0,E$12=1)),COUNT(H103,G103)=2),H103+G103*E$10/12*(1-E$12),"n.a.")</x:f>
        <x:v>n.a.</x:v>
      </x:c>
      <x:c r="I104" s="89" t="str">
        <x:f>IF(AND(COUNT(E$7:E$12)=6,E$7&gt;=0,E$8&gt;=0,E$9&gt;-1,E$10&gt;=0,E$11&gt;=0,OR(E$12=0,E$12=1)),E$7+71*E$8,"n.a.")</x:f>
        <x:v>n.a.</x:v>
      </x:c>
      <x:c r="J104" s="89" t="str">
        <x:f>IF(AND(AND(COUNT(F$7:F$12)=6,F$7&gt;=0,F$8&gt;=0,F$9&gt;-1,F$10&gt;=0,F$11&gt;=0,OR(F$12=0,F$12=1)),ISNUMBER(J103)),J103*((1+F$9)^(1/12)+F$10/12*F$12-F$11/12)+F$8,"n.a.")</x:f>
        <x:v>n.a.</x:v>
      </x:c>
      <x:c r="K104" s="89" t="str">
        <x:f>IF(AND(AND(COUNT(F$7:F$12)=6,F$7&gt;=0,F$8&gt;=0,F$9&gt;-1,F$10&gt;=0,F$11&gt;=0,OR(F$12=0,F$12=1)),COUNT(K103,J103)=2),K103+J103*F$10/12*(1-F$12),"n.a.")</x:f>
        <x:v>n.a.</x:v>
      </x:c>
      <x:c r="L104" s="89" t="str">
        <x:f>IF(AND(COUNT(F$7:F$12)=6,F$7&gt;=0,F$8&gt;=0,F$9&gt;-1,F$10&gt;=0,F$11&gt;=0,OR(F$12=0,F$12=1)),F$7+71*F$8,"n.a.")</x:f>
        <x:v>n.a.</x:v>
      </x:c>
    </x:row>
    <x:row r="105">
      <x:c r="C105" t="n">
        <x:v>72</x:v>
      </x:c>
      <x:c r="D105" s="89" t="str">
        <x:f>IF(AND(AND(COUNT(D$7:D$12)=6,D$7&gt;=0,D$8&gt;=0,D$9&gt;-1,D$10&gt;=0,D$11&gt;=0,OR(D$12=0,D$12=1)),ISNUMBER(D104)),D104*((1+D$9)^(1/12)+D$10/12*D$12-D$11/12)+D$8,"n.a.")</x:f>
        <x:v>n.a.</x:v>
      </x:c>
      <x:c r="E105" s="89" t="str">
        <x:f>IF(AND(AND(COUNT(D$7:D$12)=6,D$7&gt;=0,D$8&gt;=0,D$9&gt;-1,D$10&gt;=0,D$11&gt;=0,OR(D$12=0,D$12=1)),COUNT(E104,D104)=2),E104+D104*D$10/12*(1-D$12),"n.a.")</x:f>
        <x:v>n.a.</x:v>
      </x:c>
      <x:c r="F105" s="89" t="str">
        <x:f>IF(AND(COUNT(D$7:D$12)=6,D$7&gt;=0,D$8&gt;=0,D$9&gt;-1,D$10&gt;=0,D$11&gt;=0,OR(D$12=0,D$12=1)),D$7+72*D$8,"n.a.")</x:f>
        <x:v>n.a.</x:v>
      </x:c>
      <x:c r="G105" s="89" t="str">
        <x:f>IF(AND(AND(COUNT(E$7:E$12)=6,E$7&gt;=0,E$8&gt;=0,E$9&gt;-1,E$10&gt;=0,E$11&gt;=0,OR(E$12=0,E$12=1)),ISNUMBER(G104)),G104*((1+E$9)^(1/12)+E$10/12*E$12-E$11/12)+E$8,"n.a.")</x:f>
        <x:v>n.a.</x:v>
      </x:c>
      <x:c r="H105" s="89" t="str">
        <x:f>IF(AND(AND(COUNT(E$7:E$12)=6,E$7&gt;=0,E$8&gt;=0,E$9&gt;-1,E$10&gt;=0,E$11&gt;=0,OR(E$12=0,E$12=1)),COUNT(H104,G104)=2),H104+G104*E$10/12*(1-E$12),"n.a.")</x:f>
        <x:v>n.a.</x:v>
      </x:c>
      <x:c r="I105" s="89" t="str">
        <x:f>IF(AND(COUNT(E$7:E$12)=6,E$7&gt;=0,E$8&gt;=0,E$9&gt;-1,E$10&gt;=0,E$11&gt;=0,OR(E$12=0,E$12=1)),E$7+72*E$8,"n.a.")</x:f>
        <x:v>n.a.</x:v>
      </x:c>
      <x:c r="J105" s="89" t="str">
        <x:f>IF(AND(AND(COUNT(F$7:F$12)=6,F$7&gt;=0,F$8&gt;=0,F$9&gt;-1,F$10&gt;=0,F$11&gt;=0,OR(F$12=0,F$12=1)),ISNUMBER(J104)),J104*((1+F$9)^(1/12)+F$10/12*F$12-F$11/12)+F$8,"n.a.")</x:f>
        <x:v>n.a.</x:v>
      </x:c>
      <x:c r="K105" s="89" t="str">
        <x:f>IF(AND(AND(COUNT(F$7:F$12)=6,F$7&gt;=0,F$8&gt;=0,F$9&gt;-1,F$10&gt;=0,F$11&gt;=0,OR(F$12=0,F$12=1)),COUNT(K104,J104)=2),K104+J104*F$10/12*(1-F$12),"n.a.")</x:f>
        <x:v>n.a.</x:v>
      </x:c>
      <x:c r="L105" s="89" t="str">
        <x:f>IF(AND(COUNT(F$7:F$12)=6,F$7&gt;=0,F$8&gt;=0,F$9&gt;-1,F$10&gt;=0,F$11&gt;=0,OR(F$12=0,F$12=1)),F$7+72*F$8,"n.a.")</x:f>
        <x:v>n.a.</x:v>
      </x:c>
    </x:row>
    <x:row r="106">
      <x:c r="C106" t="n">
        <x:v>73</x:v>
      </x:c>
      <x:c r="D106" s="89" t="str">
        <x:f>IF(AND(AND(COUNT(D$7:D$12)=6,D$7&gt;=0,D$8&gt;=0,D$9&gt;-1,D$10&gt;=0,D$11&gt;=0,OR(D$12=0,D$12=1)),ISNUMBER(D105)),D105*((1+D$9)^(1/12)+D$10/12*D$12-D$11/12)+D$8,"n.a.")</x:f>
        <x:v>n.a.</x:v>
      </x:c>
      <x:c r="E106" s="89" t="str">
        <x:f>IF(AND(AND(COUNT(D$7:D$12)=6,D$7&gt;=0,D$8&gt;=0,D$9&gt;-1,D$10&gt;=0,D$11&gt;=0,OR(D$12=0,D$12=1)),COUNT(E105,D105)=2),E105+D105*D$10/12*(1-D$12),"n.a.")</x:f>
        <x:v>n.a.</x:v>
      </x:c>
      <x:c r="F106" s="89" t="str">
        <x:f>IF(AND(COUNT(D$7:D$12)=6,D$7&gt;=0,D$8&gt;=0,D$9&gt;-1,D$10&gt;=0,D$11&gt;=0,OR(D$12=0,D$12=1)),D$7+73*D$8,"n.a.")</x:f>
        <x:v>n.a.</x:v>
      </x:c>
      <x:c r="G106" s="89" t="str">
        <x:f>IF(AND(AND(COUNT(E$7:E$12)=6,E$7&gt;=0,E$8&gt;=0,E$9&gt;-1,E$10&gt;=0,E$11&gt;=0,OR(E$12=0,E$12=1)),ISNUMBER(G105)),G105*((1+E$9)^(1/12)+E$10/12*E$12-E$11/12)+E$8,"n.a.")</x:f>
        <x:v>n.a.</x:v>
      </x:c>
      <x:c r="H106" s="89" t="str">
        <x:f>IF(AND(AND(COUNT(E$7:E$12)=6,E$7&gt;=0,E$8&gt;=0,E$9&gt;-1,E$10&gt;=0,E$11&gt;=0,OR(E$12=0,E$12=1)),COUNT(H105,G105)=2),H105+G105*E$10/12*(1-E$12),"n.a.")</x:f>
        <x:v>n.a.</x:v>
      </x:c>
      <x:c r="I106" s="89" t="str">
        <x:f>IF(AND(COUNT(E$7:E$12)=6,E$7&gt;=0,E$8&gt;=0,E$9&gt;-1,E$10&gt;=0,E$11&gt;=0,OR(E$12=0,E$12=1)),E$7+73*E$8,"n.a.")</x:f>
        <x:v>n.a.</x:v>
      </x:c>
      <x:c r="J106" s="89" t="str">
        <x:f>IF(AND(AND(COUNT(F$7:F$12)=6,F$7&gt;=0,F$8&gt;=0,F$9&gt;-1,F$10&gt;=0,F$11&gt;=0,OR(F$12=0,F$12=1)),ISNUMBER(J105)),J105*((1+F$9)^(1/12)+F$10/12*F$12-F$11/12)+F$8,"n.a.")</x:f>
        <x:v>n.a.</x:v>
      </x:c>
      <x:c r="K106" s="89" t="str">
        <x:f>IF(AND(AND(COUNT(F$7:F$12)=6,F$7&gt;=0,F$8&gt;=0,F$9&gt;-1,F$10&gt;=0,F$11&gt;=0,OR(F$12=0,F$12=1)),COUNT(K105,J105)=2),K105+J105*F$10/12*(1-F$12),"n.a.")</x:f>
        <x:v>n.a.</x:v>
      </x:c>
      <x:c r="L106" s="89" t="str">
        <x:f>IF(AND(COUNT(F$7:F$12)=6,F$7&gt;=0,F$8&gt;=0,F$9&gt;-1,F$10&gt;=0,F$11&gt;=0,OR(F$12=0,F$12=1)),F$7+73*F$8,"n.a.")</x:f>
        <x:v>n.a.</x:v>
      </x:c>
    </x:row>
    <x:row r="107">
      <x:c r="C107" t="n">
        <x:v>74</x:v>
      </x:c>
      <x:c r="D107" s="89" t="str">
        <x:f>IF(AND(AND(COUNT(D$7:D$12)=6,D$7&gt;=0,D$8&gt;=0,D$9&gt;-1,D$10&gt;=0,D$11&gt;=0,OR(D$12=0,D$12=1)),ISNUMBER(D106)),D106*((1+D$9)^(1/12)+D$10/12*D$12-D$11/12)+D$8,"n.a.")</x:f>
        <x:v>n.a.</x:v>
      </x:c>
      <x:c r="E107" s="89" t="str">
        <x:f>IF(AND(AND(COUNT(D$7:D$12)=6,D$7&gt;=0,D$8&gt;=0,D$9&gt;-1,D$10&gt;=0,D$11&gt;=0,OR(D$12=0,D$12=1)),COUNT(E106,D106)=2),E106+D106*D$10/12*(1-D$12),"n.a.")</x:f>
        <x:v>n.a.</x:v>
      </x:c>
      <x:c r="F107" s="89" t="str">
        <x:f>IF(AND(COUNT(D$7:D$12)=6,D$7&gt;=0,D$8&gt;=0,D$9&gt;-1,D$10&gt;=0,D$11&gt;=0,OR(D$12=0,D$12=1)),D$7+74*D$8,"n.a.")</x:f>
        <x:v>n.a.</x:v>
      </x:c>
      <x:c r="G107" s="89" t="str">
        <x:f>IF(AND(AND(COUNT(E$7:E$12)=6,E$7&gt;=0,E$8&gt;=0,E$9&gt;-1,E$10&gt;=0,E$11&gt;=0,OR(E$12=0,E$12=1)),ISNUMBER(G106)),G106*((1+E$9)^(1/12)+E$10/12*E$12-E$11/12)+E$8,"n.a.")</x:f>
        <x:v>n.a.</x:v>
      </x:c>
      <x:c r="H107" s="89" t="str">
        <x:f>IF(AND(AND(COUNT(E$7:E$12)=6,E$7&gt;=0,E$8&gt;=0,E$9&gt;-1,E$10&gt;=0,E$11&gt;=0,OR(E$12=0,E$12=1)),COUNT(H106,G106)=2),H106+G106*E$10/12*(1-E$12),"n.a.")</x:f>
        <x:v>n.a.</x:v>
      </x:c>
      <x:c r="I107" s="89" t="str">
        <x:f>IF(AND(COUNT(E$7:E$12)=6,E$7&gt;=0,E$8&gt;=0,E$9&gt;-1,E$10&gt;=0,E$11&gt;=0,OR(E$12=0,E$12=1)),E$7+74*E$8,"n.a.")</x:f>
        <x:v>n.a.</x:v>
      </x:c>
      <x:c r="J107" s="89" t="str">
        <x:f>IF(AND(AND(COUNT(F$7:F$12)=6,F$7&gt;=0,F$8&gt;=0,F$9&gt;-1,F$10&gt;=0,F$11&gt;=0,OR(F$12=0,F$12=1)),ISNUMBER(J106)),J106*((1+F$9)^(1/12)+F$10/12*F$12-F$11/12)+F$8,"n.a.")</x:f>
        <x:v>n.a.</x:v>
      </x:c>
      <x:c r="K107" s="89" t="str">
        <x:f>IF(AND(AND(COUNT(F$7:F$12)=6,F$7&gt;=0,F$8&gt;=0,F$9&gt;-1,F$10&gt;=0,F$11&gt;=0,OR(F$12=0,F$12=1)),COUNT(K106,J106)=2),K106+J106*F$10/12*(1-F$12),"n.a.")</x:f>
        <x:v>n.a.</x:v>
      </x:c>
      <x:c r="L107" s="89" t="str">
        <x:f>IF(AND(COUNT(F$7:F$12)=6,F$7&gt;=0,F$8&gt;=0,F$9&gt;-1,F$10&gt;=0,F$11&gt;=0,OR(F$12=0,F$12=1)),F$7+74*F$8,"n.a.")</x:f>
        <x:v>n.a.</x:v>
      </x:c>
    </x:row>
    <x:row r="108">
      <x:c r="C108" t="n">
        <x:v>75</x:v>
      </x:c>
      <x:c r="D108" s="89" t="str">
        <x:f>IF(AND(AND(COUNT(D$7:D$12)=6,D$7&gt;=0,D$8&gt;=0,D$9&gt;-1,D$10&gt;=0,D$11&gt;=0,OR(D$12=0,D$12=1)),ISNUMBER(D107)),D107*((1+D$9)^(1/12)+D$10/12*D$12-D$11/12)+D$8,"n.a.")</x:f>
        <x:v>n.a.</x:v>
      </x:c>
      <x:c r="E108" s="89" t="str">
        <x:f>IF(AND(AND(COUNT(D$7:D$12)=6,D$7&gt;=0,D$8&gt;=0,D$9&gt;-1,D$10&gt;=0,D$11&gt;=0,OR(D$12=0,D$12=1)),COUNT(E107,D107)=2),E107+D107*D$10/12*(1-D$12),"n.a.")</x:f>
        <x:v>n.a.</x:v>
      </x:c>
      <x:c r="F108" s="89" t="str">
        <x:f>IF(AND(COUNT(D$7:D$12)=6,D$7&gt;=0,D$8&gt;=0,D$9&gt;-1,D$10&gt;=0,D$11&gt;=0,OR(D$12=0,D$12=1)),D$7+75*D$8,"n.a.")</x:f>
        <x:v>n.a.</x:v>
      </x:c>
      <x:c r="G108" s="89" t="str">
        <x:f>IF(AND(AND(COUNT(E$7:E$12)=6,E$7&gt;=0,E$8&gt;=0,E$9&gt;-1,E$10&gt;=0,E$11&gt;=0,OR(E$12=0,E$12=1)),ISNUMBER(G107)),G107*((1+E$9)^(1/12)+E$10/12*E$12-E$11/12)+E$8,"n.a.")</x:f>
        <x:v>n.a.</x:v>
      </x:c>
      <x:c r="H108" s="89" t="str">
        <x:f>IF(AND(AND(COUNT(E$7:E$12)=6,E$7&gt;=0,E$8&gt;=0,E$9&gt;-1,E$10&gt;=0,E$11&gt;=0,OR(E$12=0,E$12=1)),COUNT(H107,G107)=2),H107+G107*E$10/12*(1-E$12),"n.a.")</x:f>
        <x:v>n.a.</x:v>
      </x:c>
      <x:c r="I108" s="89" t="str">
        <x:f>IF(AND(COUNT(E$7:E$12)=6,E$7&gt;=0,E$8&gt;=0,E$9&gt;-1,E$10&gt;=0,E$11&gt;=0,OR(E$12=0,E$12=1)),E$7+75*E$8,"n.a.")</x:f>
        <x:v>n.a.</x:v>
      </x:c>
      <x:c r="J108" s="89" t="str">
        <x:f>IF(AND(AND(COUNT(F$7:F$12)=6,F$7&gt;=0,F$8&gt;=0,F$9&gt;-1,F$10&gt;=0,F$11&gt;=0,OR(F$12=0,F$12=1)),ISNUMBER(J107)),J107*((1+F$9)^(1/12)+F$10/12*F$12-F$11/12)+F$8,"n.a.")</x:f>
        <x:v>n.a.</x:v>
      </x:c>
      <x:c r="K108" s="89" t="str">
        <x:f>IF(AND(AND(COUNT(F$7:F$12)=6,F$7&gt;=0,F$8&gt;=0,F$9&gt;-1,F$10&gt;=0,F$11&gt;=0,OR(F$12=0,F$12=1)),COUNT(K107,J107)=2),K107+J107*F$10/12*(1-F$12),"n.a.")</x:f>
        <x:v>n.a.</x:v>
      </x:c>
      <x:c r="L108" s="89" t="str">
        <x:f>IF(AND(COUNT(F$7:F$12)=6,F$7&gt;=0,F$8&gt;=0,F$9&gt;-1,F$10&gt;=0,F$11&gt;=0,OR(F$12=0,F$12=1)),F$7+75*F$8,"n.a.")</x:f>
        <x:v>n.a.</x:v>
      </x:c>
    </x:row>
    <x:row r="109">
      <x:c r="C109" t="n">
        <x:v>76</x:v>
      </x:c>
      <x:c r="D109" s="89" t="str">
        <x:f>IF(AND(AND(COUNT(D$7:D$12)=6,D$7&gt;=0,D$8&gt;=0,D$9&gt;-1,D$10&gt;=0,D$11&gt;=0,OR(D$12=0,D$12=1)),ISNUMBER(D108)),D108*((1+D$9)^(1/12)+D$10/12*D$12-D$11/12)+D$8,"n.a.")</x:f>
        <x:v>n.a.</x:v>
      </x:c>
      <x:c r="E109" s="89" t="str">
        <x:f>IF(AND(AND(COUNT(D$7:D$12)=6,D$7&gt;=0,D$8&gt;=0,D$9&gt;-1,D$10&gt;=0,D$11&gt;=0,OR(D$12=0,D$12=1)),COUNT(E108,D108)=2),E108+D108*D$10/12*(1-D$12),"n.a.")</x:f>
        <x:v>n.a.</x:v>
      </x:c>
      <x:c r="F109" s="89" t="str">
        <x:f>IF(AND(COUNT(D$7:D$12)=6,D$7&gt;=0,D$8&gt;=0,D$9&gt;-1,D$10&gt;=0,D$11&gt;=0,OR(D$12=0,D$12=1)),D$7+76*D$8,"n.a.")</x:f>
        <x:v>n.a.</x:v>
      </x:c>
      <x:c r="G109" s="89" t="str">
        <x:f>IF(AND(AND(COUNT(E$7:E$12)=6,E$7&gt;=0,E$8&gt;=0,E$9&gt;-1,E$10&gt;=0,E$11&gt;=0,OR(E$12=0,E$12=1)),ISNUMBER(G108)),G108*((1+E$9)^(1/12)+E$10/12*E$12-E$11/12)+E$8,"n.a.")</x:f>
        <x:v>n.a.</x:v>
      </x:c>
      <x:c r="H109" s="89" t="str">
        <x:f>IF(AND(AND(COUNT(E$7:E$12)=6,E$7&gt;=0,E$8&gt;=0,E$9&gt;-1,E$10&gt;=0,E$11&gt;=0,OR(E$12=0,E$12=1)),COUNT(H108,G108)=2),H108+G108*E$10/12*(1-E$12),"n.a.")</x:f>
        <x:v>n.a.</x:v>
      </x:c>
      <x:c r="I109" s="89" t="str">
        <x:f>IF(AND(COUNT(E$7:E$12)=6,E$7&gt;=0,E$8&gt;=0,E$9&gt;-1,E$10&gt;=0,E$11&gt;=0,OR(E$12=0,E$12=1)),E$7+76*E$8,"n.a.")</x:f>
        <x:v>n.a.</x:v>
      </x:c>
      <x:c r="J109" s="89" t="str">
        <x:f>IF(AND(AND(COUNT(F$7:F$12)=6,F$7&gt;=0,F$8&gt;=0,F$9&gt;-1,F$10&gt;=0,F$11&gt;=0,OR(F$12=0,F$12=1)),ISNUMBER(J108)),J108*((1+F$9)^(1/12)+F$10/12*F$12-F$11/12)+F$8,"n.a.")</x:f>
        <x:v>n.a.</x:v>
      </x:c>
      <x:c r="K109" s="89" t="str">
        <x:f>IF(AND(AND(COUNT(F$7:F$12)=6,F$7&gt;=0,F$8&gt;=0,F$9&gt;-1,F$10&gt;=0,F$11&gt;=0,OR(F$12=0,F$12=1)),COUNT(K108,J108)=2),K108+J108*F$10/12*(1-F$12),"n.a.")</x:f>
        <x:v>n.a.</x:v>
      </x:c>
      <x:c r="L109" s="89" t="str">
        <x:f>IF(AND(COUNT(F$7:F$12)=6,F$7&gt;=0,F$8&gt;=0,F$9&gt;-1,F$10&gt;=0,F$11&gt;=0,OR(F$12=0,F$12=1)),F$7+76*F$8,"n.a.")</x:f>
        <x:v>n.a.</x:v>
      </x:c>
    </x:row>
    <x:row r="110">
      <x:c r="C110" t="n">
        <x:v>77</x:v>
      </x:c>
      <x:c r="D110" s="89" t="str">
        <x:f>IF(AND(AND(COUNT(D$7:D$12)=6,D$7&gt;=0,D$8&gt;=0,D$9&gt;-1,D$10&gt;=0,D$11&gt;=0,OR(D$12=0,D$12=1)),ISNUMBER(D109)),D109*((1+D$9)^(1/12)+D$10/12*D$12-D$11/12)+D$8,"n.a.")</x:f>
        <x:v>n.a.</x:v>
      </x:c>
      <x:c r="E110" s="89" t="str">
        <x:f>IF(AND(AND(COUNT(D$7:D$12)=6,D$7&gt;=0,D$8&gt;=0,D$9&gt;-1,D$10&gt;=0,D$11&gt;=0,OR(D$12=0,D$12=1)),COUNT(E109,D109)=2),E109+D109*D$10/12*(1-D$12),"n.a.")</x:f>
        <x:v>n.a.</x:v>
      </x:c>
      <x:c r="F110" s="89" t="str">
        <x:f>IF(AND(COUNT(D$7:D$12)=6,D$7&gt;=0,D$8&gt;=0,D$9&gt;-1,D$10&gt;=0,D$11&gt;=0,OR(D$12=0,D$12=1)),D$7+77*D$8,"n.a.")</x:f>
        <x:v>n.a.</x:v>
      </x:c>
      <x:c r="G110" s="89" t="str">
        <x:f>IF(AND(AND(COUNT(E$7:E$12)=6,E$7&gt;=0,E$8&gt;=0,E$9&gt;-1,E$10&gt;=0,E$11&gt;=0,OR(E$12=0,E$12=1)),ISNUMBER(G109)),G109*((1+E$9)^(1/12)+E$10/12*E$12-E$11/12)+E$8,"n.a.")</x:f>
        <x:v>n.a.</x:v>
      </x:c>
      <x:c r="H110" s="89" t="str">
        <x:f>IF(AND(AND(COUNT(E$7:E$12)=6,E$7&gt;=0,E$8&gt;=0,E$9&gt;-1,E$10&gt;=0,E$11&gt;=0,OR(E$12=0,E$12=1)),COUNT(H109,G109)=2),H109+G109*E$10/12*(1-E$12),"n.a.")</x:f>
        <x:v>n.a.</x:v>
      </x:c>
      <x:c r="I110" s="89" t="str">
        <x:f>IF(AND(COUNT(E$7:E$12)=6,E$7&gt;=0,E$8&gt;=0,E$9&gt;-1,E$10&gt;=0,E$11&gt;=0,OR(E$12=0,E$12=1)),E$7+77*E$8,"n.a.")</x:f>
        <x:v>n.a.</x:v>
      </x:c>
      <x:c r="J110" s="89" t="str">
        <x:f>IF(AND(AND(COUNT(F$7:F$12)=6,F$7&gt;=0,F$8&gt;=0,F$9&gt;-1,F$10&gt;=0,F$11&gt;=0,OR(F$12=0,F$12=1)),ISNUMBER(J109)),J109*((1+F$9)^(1/12)+F$10/12*F$12-F$11/12)+F$8,"n.a.")</x:f>
        <x:v>n.a.</x:v>
      </x:c>
      <x:c r="K110" s="89" t="str">
        <x:f>IF(AND(AND(COUNT(F$7:F$12)=6,F$7&gt;=0,F$8&gt;=0,F$9&gt;-1,F$10&gt;=0,F$11&gt;=0,OR(F$12=0,F$12=1)),COUNT(K109,J109)=2),K109+J109*F$10/12*(1-F$12),"n.a.")</x:f>
        <x:v>n.a.</x:v>
      </x:c>
      <x:c r="L110" s="89" t="str">
        <x:f>IF(AND(COUNT(F$7:F$12)=6,F$7&gt;=0,F$8&gt;=0,F$9&gt;-1,F$10&gt;=0,F$11&gt;=0,OR(F$12=0,F$12=1)),F$7+77*F$8,"n.a.")</x:f>
        <x:v>n.a.</x:v>
      </x:c>
    </x:row>
    <x:row r="111">
      <x:c r="C111" t="n">
        <x:v>78</x:v>
      </x:c>
      <x:c r="D111" s="89" t="str">
        <x:f>IF(AND(AND(COUNT(D$7:D$12)=6,D$7&gt;=0,D$8&gt;=0,D$9&gt;-1,D$10&gt;=0,D$11&gt;=0,OR(D$12=0,D$12=1)),ISNUMBER(D110)),D110*((1+D$9)^(1/12)+D$10/12*D$12-D$11/12)+D$8,"n.a.")</x:f>
        <x:v>n.a.</x:v>
      </x:c>
      <x:c r="E111" s="89" t="str">
        <x:f>IF(AND(AND(COUNT(D$7:D$12)=6,D$7&gt;=0,D$8&gt;=0,D$9&gt;-1,D$10&gt;=0,D$11&gt;=0,OR(D$12=0,D$12=1)),COUNT(E110,D110)=2),E110+D110*D$10/12*(1-D$12),"n.a.")</x:f>
        <x:v>n.a.</x:v>
      </x:c>
      <x:c r="F111" s="89" t="str">
        <x:f>IF(AND(COUNT(D$7:D$12)=6,D$7&gt;=0,D$8&gt;=0,D$9&gt;-1,D$10&gt;=0,D$11&gt;=0,OR(D$12=0,D$12=1)),D$7+78*D$8,"n.a.")</x:f>
        <x:v>n.a.</x:v>
      </x:c>
      <x:c r="G111" s="89" t="str">
        <x:f>IF(AND(AND(COUNT(E$7:E$12)=6,E$7&gt;=0,E$8&gt;=0,E$9&gt;-1,E$10&gt;=0,E$11&gt;=0,OR(E$12=0,E$12=1)),ISNUMBER(G110)),G110*((1+E$9)^(1/12)+E$10/12*E$12-E$11/12)+E$8,"n.a.")</x:f>
        <x:v>n.a.</x:v>
      </x:c>
      <x:c r="H111" s="89" t="str">
        <x:f>IF(AND(AND(COUNT(E$7:E$12)=6,E$7&gt;=0,E$8&gt;=0,E$9&gt;-1,E$10&gt;=0,E$11&gt;=0,OR(E$12=0,E$12=1)),COUNT(H110,G110)=2),H110+G110*E$10/12*(1-E$12),"n.a.")</x:f>
        <x:v>n.a.</x:v>
      </x:c>
      <x:c r="I111" s="89" t="str">
        <x:f>IF(AND(COUNT(E$7:E$12)=6,E$7&gt;=0,E$8&gt;=0,E$9&gt;-1,E$10&gt;=0,E$11&gt;=0,OR(E$12=0,E$12=1)),E$7+78*E$8,"n.a.")</x:f>
        <x:v>n.a.</x:v>
      </x:c>
      <x:c r="J111" s="89" t="str">
        <x:f>IF(AND(AND(COUNT(F$7:F$12)=6,F$7&gt;=0,F$8&gt;=0,F$9&gt;-1,F$10&gt;=0,F$11&gt;=0,OR(F$12=0,F$12=1)),ISNUMBER(J110)),J110*((1+F$9)^(1/12)+F$10/12*F$12-F$11/12)+F$8,"n.a.")</x:f>
        <x:v>n.a.</x:v>
      </x:c>
      <x:c r="K111" s="89" t="str">
        <x:f>IF(AND(AND(COUNT(F$7:F$12)=6,F$7&gt;=0,F$8&gt;=0,F$9&gt;-1,F$10&gt;=0,F$11&gt;=0,OR(F$12=0,F$12=1)),COUNT(K110,J110)=2),K110+J110*F$10/12*(1-F$12),"n.a.")</x:f>
        <x:v>n.a.</x:v>
      </x:c>
      <x:c r="L111" s="89" t="str">
        <x:f>IF(AND(COUNT(F$7:F$12)=6,F$7&gt;=0,F$8&gt;=0,F$9&gt;-1,F$10&gt;=0,F$11&gt;=0,OR(F$12=0,F$12=1)),F$7+78*F$8,"n.a.")</x:f>
        <x:v>n.a.</x:v>
      </x:c>
    </x:row>
    <x:row r="112">
      <x:c r="C112" t="n">
        <x:v>79</x:v>
      </x:c>
      <x:c r="D112" s="89" t="str">
        <x:f>IF(AND(AND(COUNT(D$7:D$12)=6,D$7&gt;=0,D$8&gt;=0,D$9&gt;-1,D$10&gt;=0,D$11&gt;=0,OR(D$12=0,D$12=1)),ISNUMBER(D111)),D111*((1+D$9)^(1/12)+D$10/12*D$12-D$11/12)+D$8,"n.a.")</x:f>
        <x:v>n.a.</x:v>
      </x:c>
      <x:c r="E112" s="89" t="str">
        <x:f>IF(AND(AND(COUNT(D$7:D$12)=6,D$7&gt;=0,D$8&gt;=0,D$9&gt;-1,D$10&gt;=0,D$11&gt;=0,OR(D$12=0,D$12=1)),COUNT(E111,D111)=2),E111+D111*D$10/12*(1-D$12),"n.a.")</x:f>
        <x:v>n.a.</x:v>
      </x:c>
      <x:c r="F112" s="89" t="str">
        <x:f>IF(AND(COUNT(D$7:D$12)=6,D$7&gt;=0,D$8&gt;=0,D$9&gt;-1,D$10&gt;=0,D$11&gt;=0,OR(D$12=0,D$12=1)),D$7+79*D$8,"n.a.")</x:f>
        <x:v>n.a.</x:v>
      </x:c>
      <x:c r="G112" s="89" t="str">
        <x:f>IF(AND(AND(COUNT(E$7:E$12)=6,E$7&gt;=0,E$8&gt;=0,E$9&gt;-1,E$10&gt;=0,E$11&gt;=0,OR(E$12=0,E$12=1)),ISNUMBER(G111)),G111*((1+E$9)^(1/12)+E$10/12*E$12-E$11/12)+E$8,"n.a.")</x:f>
        <x:v>n.a.</x:v>
      </x:c>
      <x:c r="H112" s="89" t="str">
        <x:f>IF(AND(AND(COUNT(E$7:E$12)=6,E$7&gt;=0,E$8&gt;=0,E$9&gt;-1,E$10&gt;=0,E$11&gt;=0,OR(E$12=0,E$12=1)),COUNT(H111,G111)=2),H111+G111*E$10/12*(1-E$12),"n.a.")</x:f>
        <x:v>n.a.</x:v>
      </x:c>
      <x:c r="I112" s="89" t="str">
        <x:f>IF(AND(COUNT(E$7:E$12)=6,E$7&gt;=0,E$8&gt;=0,E$9&gt;-1,E$10&gt;=0,E$11&gt;=0,OR(E$12=0,E$12=1)),E$7+79*E$8,"n.a.")</x:f>
        <x:v>n.a.</x:v>
      </x:c>
      <x:c r="J112" s="89" t="str">
        <x:f>IF(AND(AND(COUNT(F$7:F$12)=6,F$7&gt;=0,F$8&gt;=0,F$9&gt;-1,F$10&gt;=0,F$11&gt;=0,OR(F$12=0,F$12=1)),ISNUMBER(J111)),J111*((1+F$9)^(1/12)+F$10/12*F$12-F$11/12)+F$8,"n.a.")</x:f>
        <x:v>n.a.</x:v>
      </x:c>
      <x:c r="K112" s="89" t="str">
        <x:f>IF(AND(AND(COUNT(F$7:F$12)=6,F$7&gt;=0,F$8&gt;=0,F$9&gt;-1,F$10&gt;=0,F$11&gt;=0,OR(F$12=0,F$12=1)),COUNT(K111,J111)=2),K111+J111*F$10/12*(1-F$12),"n.a.")</x:f>
        <x:v>n.a.</x:v>
      </x:c>
      <x:c r="L112" s="89" t="str">
        <x:f>IF(AND(COUNT(F$7:F$12)=6,F$7&gt;=0,F$8&gt;=0,F$9&gt;-1,F$10&gt;=0,F$11&gt;=0,OR(F$12=0,F$12=1)),F$7+79*F$8,"n.a.")</x:f>
        <x:v>n.a.</x:v>
      </x:c>
    </x:row>
    <x:row r="113">
      <x:c r="C113" t="n">
        <x:v>80</x:v>
      </x:c>
      <x:c r="D113" s="89" t="str">
        <x:f>IF(AND(AND(COUNT(D$7:D$12)=6,D$7&gt;=0,D$8&gt;=0,D$9&gt;-1,D$10&gt;=0,D$11&gt;=0,OR(D$12=0,D$12=1)),ISNUMBER(D112)),D112*((1+D$9)^(1/12)+D$10/12*D$12-D$11/12)+D$8,"n.a.")</x:f>
        <x:v>n.a.</x:v>
      </x:c>
      <x:c r="E113" s="89" t="str">
        <x:f>IF(AND(AND(COUNT(D$7:D$12)=6,D$7&gt;=0,D$8&gt;=0,D$9&gt;-1,D$10&gt;=0,D$11&gt;=0,OR(D$12=0,D$12=1)),COUNT(E112,D112)=2),E112+D112*D$10/12*(1-D$12),"n.a.")</x:f>
        <x:v>n.a.</x:v>
      </x:c>
      <x:c r="F113" s="89" t="str">
        <x:f>IF(AND(COUNT(D$7:D$12)=6,D$7&gt;=0,D$8&gt;=0,D$9&gt;-1,D$10&gt;=0,D$11&gt;=0,OR(D$12=0,D$12=1)),D$7+80*D$8,"n.a.")</x:f>
        <x:v>n.a.</x:v>
      </x:c>
      <x:c r="G113" s="89" t="str">
        <x:f>IF(AND(AND(COUNT(E$7:E$12)=6,E$7&gt;=0,E$8&gt;=0,E$9&gt;-1,E$10&gt;=0,E$11&gt;=0,OR(E$12=0,E$12=1)),ISNUMBER(G112)),G112*((1+E$9)^(1/12)+E$10/12*E$12-E$11/12)+E$8,"n.a.")</x:f>
        <x:v>n.a.</x:v>
      </x:c>
      <x:c r="H113" s="89" t="str">
        <x:f>IF(AND(AND(COUNT(E$7:E$12)=6,E$7&gt;=0,E$8&gt;=0,E$9&gt;-1,E$10&gt;=0,E$11&gt;=0,OR(E$12=0,E$12=1)),COUNT(H112,G112)=2),H112+G112*E$10/12*(1-E$12),"n.a.")</x:f>
        <x:v>n.a.</x:v>
      </x:c>
      <x:c r="I113" s="89" t="str">
        <x:f>IF(AND(COUNT(E$7:E$12)=6,E$7&gt;=0,E$8&gt;=0,E$9&gt;-1,E$10&gt;=0,E$11&gt;=0,OR(E$12=0,E$12=1)),E$7+80*E$8,"n.a.")</x:f>
        <x:v>n.a.</x:v>
      </x:c>
      <x:c r="J113" s="89" t="str">
        <x:f>IF(AND(AND(COUNT(F$7:F$12)=6,F$7&gt;=0,F$8&gt;=0,F$9&gt;-1,F$10&gt;=0,F$11&gt;=0,OR(F$12=0,F$12=1)),ISNUMBER(J112)),J112*((1+F$9)^(1/12)+F$10/12*F$12-F$11/12)+F$8,"n.a.")</x:f>
        <x:v>n.a.</x:v>
      </x:c>
      <x:c r="K113" s="89" t="str">
        <x:f>IF(AND(AND(COUNT(F$7:F$12)=6,F$7&gt;=0,F$8&gt;=0,F$9&gt;-1,F$10&gt;=0,F$11&gt;=0,OR(F$12=0,F$12=1)),COUNT(K112,J112)=2),K112+J112*F$10/12*(1-F$12),"n.a.")</x:f>
        <x:v>n.a.</x:v>
      </x:c>
      <x:c r="L113" s="89" t="str">
        <x:f>IF(AND(COUNT(F$7:F$12)=6,F$7&gt;=0,F$8&gt;=0,F$9&gt;-1,F$10&gt;=0,F$11&gt;=0,OR(F$12=0,F$12=1)),F$7+80*F$8,"n.a.")</x:f>
        <x:v>n.a.</x:v>
      </x:c>
    </x:row>
    <x:row r="114">
      <x:c r="C114" t="n">
        <x:v>81</x:v>
      </x:c>
      <x:c r="D114" s="89" t="str">
        <x:f>IF(AND(AND(COUNT(D$7:D$12)=6,D$7&gt;=0,D$8&gt;=0,D$9&gt;-1,D$10&gt;=0,D$11&gt;=0,OR(D$12=0,D$12=1)),ISNUMBER(D113)),D113*((1+D$9)^(1/12)+D$10/12*D$12-D$11/12)+D$8,"n.a.")</x:f>
        <x:v>n.a.</x:v>
      </x:c>
      <x:c r="E114" s="89" t="str">
        <x:f>IF(AND(AND(COUNT(D$7:D$12)=6,D$7&gt;=0,D$8&gt;=0,D$9&gt;-1,D$10&gt;=0,D$11&gt;=0,OR(D$12=0,D$12=1)),COUNT(E113,D113)=2),E113+D113*D$10/12*(1-D$12),"n.a.")</x:f>
        <x:v>n.a.</x:v>
      </x:c>
      <x:c r="F114" s="89" t="str">
        <x:f>IF(AND(COUNT(D$7:D$12)=6,D$7&gt;=0,D$8&gt;=0,D$9&gt;-1,D$10&gt;=0,D$11&gt;=0,OR(D$12=0,D$12=1)),D$7+81*D$8,"n.a.")</x:f>
        <x:v>n.a.</x:v>
      </x:c>
      <x:c r="G114" s="89" t="str">
        <x:f>IF(AND(AND(COUNT(E$7:E$12)=6,E$7&gt;=0,E$8&gt;=0,E$9&gt;-1,E$10&gt;=0,E$11&gt;=0,OR(E$12=0,E$12=1)),ISNUMBER(G113)),G113*((1+E$9)^(1/12)+E$10/12*E$12-E$11/12)+E$8,"n.a.")</x:f>
        <x:v>n.a.</x:v>
      </x:c>
      <x:c r="H114" s="89" t="str">
        <x:f>IF(AND(AND(COUNT(E$7:E$12)=6,E$7&gt;=0,E$8&gt;=0,E$9&gt;-1,E$10&gt;=0,E$11&gt;=0,OR(E$12=0,E$12=1)),COUNT(H113,G113)=2),H113+G113*E$10/12*(1-E$12),"n.a.")</x:f>
        <x:v>n.a.</x:v>
      </x:c>
      <x:c r="I114" s="89" t="str">
        <x:f>IF(AND(COUNT(E$7:E$12)=6,E$7&gt;=0,E$8&gt;=0,E$9&gt;-1,E$10&gt;=0,E$11&gt;=0,OR(E$12=0,E$12=1)),E$7+81*E$8,"n.a.")</x:f>
        <x:v>n.a.</x:v>
      </x:c>
      <x:c r="J114" s="89" t="str">
        <x:f>IF(AND(AND(COUNT(F$7:F$12)=6,F$7&gt;=0,F$8&gt;=0,F$9&gt;-1,F$10&gt;=0,F$11&gt;=0,OR(F$12=0,F$12=1)),ISNUMBER(J113)),J113*((1+F$9)^(1/12)+F$10/12*F$12-F$11/12)+F$8,"n.a.")</x:f>
        <x:v>n.a.</x:v>
      </x:c>
      <x:c r="K114" s="89" t="str">
        <x:f>IF(AND(AND(COUNT(F$7:F$12)=6,F$7&gt;=0,F$8&gt;=0,F$9&gt;-1,F$10&gt;=0,F$11&gt;=0,OR(F$12=0,F$12=1)),COUNT(K113,J113)=2),K113+J113*F$10/12*(1-F$12),"n.a.")</x:f>
        <x:v>n.a.</x:v>
      </x:c>
      <x:c r="L114" s="89" t="str">
        <x:f>IF(AND(COUNT(F$7:F$12)=6,F$7&gt;=0,F$8&gt;=0,F$9&gt;-1,F$10&gt;=0,F$11&gt;=0,OR(F$12=0,F$12=1)),F$7+81*F$8,"n.a.")</x:f>
        <x:v>n.a.</x:v>
      </x:c>
    </x:row>
    <x:row r="115">
      <x:c r="C115" t="n">
        <x:v>82</x:v>
      </x:c>
      <x:c r="D115" s="89" t="str">
        <x:f>IF(AND(AND(COUNT(D$7:D$12)=6,D$7&gt;=0,D$8&gt;=0,D$9&gt;-1,D$10&gt;=0,D$11&gt;=0,OR(D$12=0,D$12=1)),ISNUMBER(D114)),D114*((1+D$9)^(1/12)+D$10/12*D$12-D$11/12)+D$8,"n.a.")</x:f>
        <x:v>n.a.</x:v>
      </x:c>
      <x:c r="E115" s="89" t="str">
        <x:f>IF(AND(AND(COUNT(D$7:D$12)=6,D$7&gt;=0,D$8&gt;=0,D$9&gt;-1,D$10&gt;=0,D$11&gt;=0,OR(D$12=0,D$12=1)),COUNT(E114,D114)=2),E114+D114*D$10/12*(1-D$12),"n.a.")</x:f>
        <x:v>n.a.</x:v>
      </x:c>
      <x:c r="F115" s="89" t="str">
        <x:f>IF(AND(COUNT(D$7:D$12)=6,D$7&gt;=0,D$8&gt;=0,D$9&gt;-1,D$10&gt;=0,D$11&gt;=0,OR(D$12=0,D$12=1)),D$7+82*D$8,"n.a.")</x:f>
        <x:v>n.a.</x:v>
      </x:c>
      <x:c r="G115" s="89" t="str">
        <x:f>IF(AND(AND(COUNT(E$7:E$12)=6,E$7&gt;=0,E$8&gt;=0,E$9&gt;-1,E$10&gt;=0,E$11&gt;=0,OR(E$12=0,E$12=1)),ISNUMBER(G114)),G114*((1+E$9)^(1/12)+E$10/12*E$12-E$11/12)+E$8,"n.a.")</x:f>
        <x:v>n.a.</x:v>
      </x:c>
      <x:c r="H115" s="89" t="str">
        <x:f>IF(AND(AND(COUNT(E$7:E$12)=6,E$7&gt;=0,E$8&gt;=0,E$9&gt;-1,E$10&gt;=0,E$11&gt;=0,OR(E$12=0,E$12=1)),COUNT(H114,G114)=2),H114+G114*E$10/12*(1-E$12),"n.a.")</x:f>
        <x:v>n.a.</x:v>
      </x:c>
      <x:c r="I115" s="89" t="str">
        <x:f>IF(AND(COUNT(E$7:E$12)=6,E$7&gt;=0,E$8&gt;=0,E$9&gt;-1,E$10&gt;=0,E$11&gt;=0,OR(E$12=0,E$12=1)),E$7+82*E$8,"n.a.")</x:f>
        <x:v>n.a.</x:v>
      </x:c>
      <x:c r="J115" s="89" t="str">
        <x:f>IF(AND(AND(COUNT(F$7:F$12)=6,F$7&gt;=0,F$8&gt;=0,F$9&gt;-1,F$10&gt;=0,F$11&gt;=0,OR(F$12=0,F$12=1)),ISNUMBER(J114)),J114*((1+F$9)^(1/12)+F$10/12*F$12-F$11/12)+F$8,"n.a.")</x:f>
        <x:v>n.a.</x:v>
      </x:c>
      <x:c r="K115" s="89" t="str">
        <x:f>IF(AND(AND(COUNT(F$7:F$12)=6,F$7&gt;=0,F$8&gt;=0,F$9&gt;-1,F$10&gt;=0,F$11&gt;=0,OR(F$12=0,F$12=1)),COUNT(K114,J114)=2),K114+J114*F$10/12*(1-F$12),"n.a.")</x:f>
        <x:v>n.a.</x:v>
      </x:c>
      <x:c r="L115" s="89" t="str">
        <x:f>IF(AND(COUNT(F$7:F$12)=6,F$7&gt;=0,F$8&gt;=0,F$9&gt;-1,F$10&gt;=0,F$11&gt;=0,OR(F$12=0,F$12=1)),F$7+82*F$8,"n.a.")</x:f>
        <x:v>n.a.</x:v>
      </x:c>
    </x:row>
    <x:row r="116">
      <x:c r="C116" t="n">
        <x:v>83</x:v>
      </x:c>
      <x:c r="D116" s="89" t="str">
        <x:f>IF(AND(AND(COUNT(D$7:D$12)=6,D$7&gt;=0,D$8&gt;=0,D$9&gt;-1,D$10&gt;=0,D$11&gt;=0,OR(D$12=0,D$12=1)),ISNUMBER(D115)),D115*((1+D$9)^(1/12)+D$10/12*D$12-D$11/12)+D$8,"n.a.")</x:f>
        <x:v>n.a.</x:v>
      </x:c>
      <x:c r="E116" s="89" t="str">
        <x:f>IF(AND(AND(COUNT(D$7:D$12)=6,D$7&gt;=0,D$8&gt;=0,D$9&gt;-1,D$10&gt;=0,D$11&gt;=0,OR(D$12=0,D$12=1)),COUNT(E115,D115)=2),E115+D115*D$10/12*(1-D$12),"n.a.")</x:f>
        <x:v>n.a.</x:v>
      </x:c>
      <x:c r="F116" s="89" t="str">
        <x:f>IF(AND(COUNT(D$7:D$12)=6,D$7&gt;=0,D$8&gt;=0,D$9&gt;-1,D$10&gt;=0,D$11&gt;=0,OR(D$12=0,D$12=1)),D$7+83*D$8,"n.a.")</x:f>
        <x:v>n.a.</x:v>
      </x:c>
      <x:c r="G116" s="89" t="str">
        <x:f>IF(AND(AND(COUNT(E$7:E$12)=6,E$7&gt;=0,E$8&gt;=0,E$9&gt;-1,E$10&gt;=0,E$11&gt;=0,OR(E$12=0,E$12=1)),ISNUMBER(G115)),G115*((1+E$9)^(1/12)+E$10/12*E$12-E$11/12)+E$8,"n.a.")</x:f>
        <x:v>n.a.</x:v>
      </x:c>
      <x:c r="H116" s="89" t="str">
        <x:f>IF(AND(AND(COUNT(E$7:E$12)=6,E$7&gt;=0,E$8&gt;=0,E$9&gt;-1,E$10&gt;=0,E$11&gt;=0,OR(E$12=0,E$12=1)),COUNT(H115,G115)=2),H115+G115*E$10/12*(1-E$12),"n.a.")</x:f>
        <x:v>n.a.</x:v>
      </x:c>
      <x:c r="I116" s="89" t="str">
        <x:f>IF(AND(COUNT(E$7:E$12)=6,E$7&gt;=0,E$8&gt;=0,E$9&gt;-1,E$10&gt;=0,E$11&gt;=0,OR(E$12=0,E$12=1)),E$7+83*E$8,"n.a.")</x:f>
        <x:v>n.a.</x:v>
      </x:c>
      <x:c r="J116" s="89" t="str">
        <x:f>IF(AND(AND(COUNT(F$7:F$12)=6,F$7&gt;=0,F$8&gt;=0,F$9&gt;-1,F$10&gt;=0,F$11&gt;=0,OR(F$12=0,F$12=1)),ISNUMBER(J115)),J115*((1+F$9)^(1/12)+F$10/12*F$12-F$11/12)+F$8,"n.a.")</x:f>
        <x:v>n.a.</x:v>
      </x:c>
      <x:c r="K116" s="89" t="str">
        <x:f>IF(AND(AND(COUNT(F$7:F$12)=6,F$7&gt;=0,F$8&gt;=0,F$9&gt;-1,F$10&gt;=0,F$11&gt;=0,OR(F$12=0,F$12=1)),COUNT(K115,J115)=2),K115+J115*F$10/12*(1-F$12),"n.a.")</x:f>
        <x:v>n.a.</x:v>
      </x:c>
      <x:c r="L116" s="89" t="str">
        <x:f>IF(AND(COUNT(F$7:F$12)=6,F$7&gt;=0,F$8&gt;=0,F$9&gt;-1,F$10&gt;=0,F$11&gt;=0,OR(F$12=0,F$12=1)),F$7+83*F$8,"n.a.")</x:f>
        <x:v>n.a.</x:v>
      </x:c>
    </x:row>
    <x:row r="117">
      <x:c r="C117" t="n">
        <x:v>84</x:v>
      </x:c>
      <x:c r="D117" s="89" t="str">
        <x:f>IF(AND(AND(COUNT(D$7:D$12)=6,D$7&gt;=0,D$8&gt;=0,D$9&gt;-1,D$10&gt;=0,D$11&gt;=0,OR(D$12=0,D$12=1)),ISNUMBER(D116)),D116*((1+D$9)^(1/12)+D$10/12*D$12-D$11/12)+D$8,"n.a.")</x:f>
        <x:v>n.a.</x:v>
      </x:c>
      <x:c r="E117" s="89" t="str">
        <x:f>IF(AND(AND(COUNT(D$7:D$12)=6,D$7&gt;=0,D$8&gt;=0,D$9&gt;-1,D$10&gt;=0,D$11&gt;=0,OR(D$12=0,D$12=1)),COUNT(E116,D116)=2),E116+D116*D$10/12*(1-D$12),"n.a.")</x:f>
        <x:v>n.a.</x:v>
      </x:c>
      <x:c r="F117" s="89" t="str">
        <x:f>IF(AND(COUNT(D$7:D$12)=6,D$7&gt;=0,D$8&gt;=0,D$9&gt;-1,D$10&gt;=0,D$11&gt;=0,OR(D$12=0,D$12=1)),D$7+84*D$8,"n.a.")</x:f>
        <x:v>n.a.</x:v>
      </x:c>
      <x:c r="G117" s="89" t="str">
        <x:f>IF(AND(AND(COUNT(E$7:E$12)=6,E$7&gt;=0,E$8&gt;=0,E$9&gt;-1,E$10&gt;=0,E$11&gt;=0,OR(E$12=0,E$12=1)),ISNUMBER(G116)),G116*((1+E$9)^(1/12)+E$10/12*E$12-E$11/12)+E$8,"n.a.")</x:f>
        <x:v>n.a.</x:v>
      </x:c>
      <x:c r="H117" s="89" t="str">
        <x:f>IF(AND(AND(COUNT(E$7:E$12)=6,E$7&gt;=0,E$8&gt;=0,E$9&gt;-1,E$10&gt;=0,E$11&gt;=0,OR(E$12=0,E$12=1)),COUNT(H116,G116)=2),H116+G116*E$10/12*(1-E$12),"n.a.")</x:f>
        <x:v>n.a.</x:v>
      </x:c>
      <x:c r="I117" s="89" t="str">
        <x:f>IF(AND(COUNT(E$7:E$12)=6,E$7&gt;=0,E$8&gt;=0,E$9&gt;-1,E$10&gt;=0,E$11&gt;=0,OR(E$12=0,E$12=1)),E$7+84*E$8,"n.a.")</x:f>
        <x:v>n.a.</x:v>
      </x:c>
      <x:c r="J117" s="89" t="str">
        <x:f>IF(AND(AND(COUNT(F$7:F$12)=6,F$7&gt;=0,F$8&gt;=0,F$9&gt;-1,F$10&gt;=0,F$11&gt;=0,OR(F$12=0,F$12=1)),ISNUMBER(J116)),J116*((1+F$9)^(1/12)+F$10/12*F$12-F$11/12)+F$8,"n.a.")</x:f>
        <x:v>n.a.</x:v>
      </x:c>
      <x:c r="K117" s="89" t="str">
        <x:f>IF(AND(AND(COUNT(F$7:F$12)=6,F$7&gt;=0,F$8&gt;=0,F$9&gt;-1,F$10&gt;=0,F$11&gt;=0,OR(F$12=0,F$12=1)),COUNT(K116,J116)=2),K116+J116*F$10/12*(1-F$12),"n.a.")</x:f>
        <x:v>n.a.</x:v>
      </x:c>
      <x:c r="L117" s="89" t="str">
        <x:f>IF(AND(COUNT(F$7:F$12)=6,F$7&gt;=0,F$8&gt;=0,F$9&gt;-1,F$10&gt;=0,F$11&gt;=0,OR(F$12=0,F$12=1)),F$7+84*F$8,"n.a.")</x:f>
        <x:v>n.a.</x:v>
      </x:c>
    </x:row>
    <x:row r="118">
      <x:c r="C118" t="n">
        <x:v>85</x:v>
      </x:c>
      <x:c r="D118" s="89" t="str">
        <x:f>IF(AND(AND(COUNT(D$7:D$12)=6,D$7&gt;=0,D$8&gt;=0,D$9&gt;-1,D$10&gt;=0,D$11&gt;=0,OR(D$12=0,D$12=1)),ISNUMBER(D117)),D117*((1+D$9)^(1/12)+D$10/12*D$12-D$11/12)+D$8,"n.a.")</x:f>
        <x:v>n.a.</x:v>
      </x:c>
      <x:c r="E118" s="89" t="str">
        <x:f>IF(AND(AND(COUNT(D$7:D$12)=6,D$7&gt;=0,D$8&gt;=0,D$9&gt;-1,D$10&gt;=0,D$11&gt;=0,OR(D$12=0,D$12=1)),COUNT(E117,D117)=2),E117+D117*D$10/12*(1-D$12),"n.a.")</x:f>
        <x:v>n.a.</x:v>
      </x:c>
      <x:c r="F118" s="89" t="str">
        <x:f>IF(AND(COUNT(D$7:D$12)=6,D$7&gt;=0,D$8&gt;=0,D$9&gt;-1,D$10&gt;=0,D$11&gt;=0,OR(D$12=0,D$12=1)),D$7+85*D$8,"n.a.")</x:f>
        <x:v>n.a.</x:v>
      </x:c>
      <x:c r="G118" s="89" t="str">
        <x:f>IF(AND(AND(COUNT(E$7:E$12)=6,E$7&gt;=0,E$8&gt;=0,E$9&gt;-1,E$10&gt;=0,E$11&gt;=0,OR(E$12=0,E$12=1)),ISNUMBER(G117)),G117*((1+E$9)^(1/12)+E$10/12*E$12-E$11/12)+E$8,"n.a.")</x:f>
        <x:v>n.a.</x:v>
      </x:c>
      <x:c r="H118" s="89" t="str">
        <x:f>IF(AND(AND(COUNT(E$7:E$12)=6,E$7&gt;=0,E$8&gt;=0,E$9&gt;-1,E$10&gt;=0,E$11&gt;=0,OR(E$12=0,E$12=1)),COUNT(H117,G117)=2),H117+G117*E$10/12*(1-E$12),"n.a.")</x:f>
        <x:v>n.a.</x:v>
      </x:c>
      <x:c r="I118" s="89" t="str">
        <x:f>IF(AND(COUNT(E$7:E$12)=6,E$7&gt;=0,E$8&gt;=0,E$9&gt;-1,E$10&gt;=0,E$11&gt;=0,OR(E$12=0,E$12=1)),E$7+85*E$8,"n.a.")</x:f>
        <x:v>n.a.</x:v>
      </x:c>
      <x:c r="J118" s="89" t="str">
        <x:f>IF(AND(AND(COUNT(F$7:F$12)=6,F$7&gt;=0,F$8&gt;=0,F$9&gt;-1,F$10&gt;=0,F$11&gt;=0,OR(F$12=0,F$12=1)),ISNUMBER(J117)),J117*((1+F$9)^(1/12)+F$10/12*F$12-F$11/12)+F$8,"n.a.")</x:f>
        <x:v>n.a.</x:v>
      </x:c>
      <x:c r="K118" s="89" t="str">
        <x:f>IF(AND(AND(COUNT(F$7:F$12)=6,F$7&gt;=0,F$8&gt;=0,F$9&gt;-1,F$10&gt;=0,F$11&gt;=0,OR(F$12=0,F$12=1)),COUNT(K117,J117)=2),K117+J117*F$10/12*(1-F$12),"n.a.")</x:f>
        <x:v>n.a.</x:v>
      </x:c>
      <x:c r="L118" s="89" t="str">
        <x:f>IF(AND(COUNT(F$7:F$12)=6,F$7&gt;=0,F$8&gt;=0,F$9&gt;-1,F$10&gt;=0,F$11&gt;=0,OR(F$12=0,F$12=1)),F$7+85*F$8,"n.a.")</x:f>
        <x:v>n.a.</x:v>
      </x:c>
    </x:row>
    <x:row r="119">
      <x:c r="C119" t="n">
        <x:v>86</x:v>
      </x:c>
      <x:c r="D119" s="89" t="str">
        <x:f>IF(AND(AND(COUNT(D$7:D$12)=6,D$7&gt;=0,D$8&gt;=0,D$9&gt;-1,D$10&gt;=0,D$11&gt;=0,OR(D$12=0,D$12=1)),ISNUMBER(D118)),D118*((1+D$9)^(1/12)+D$10/12*D$12-D$11/12)+D$8,"n.a.")</x:f>
        <x:v>n.a.</x:v>
      </x:c>
      <x:c r="E119" s="89" t="str">
        <x:f>IF(AND(AND(COUNT(D$7:D$12)=6,D$7&gt;=0,D$8&gt;=0,D$9&gt;-1,D$10&gt;=0,D$11&gt;=0,OR(D$12=0,D$12=1)),COUNT(E118,D118)=2),E118+D118*D$10/12*(1-D$12),"n.a.")</x:f>
        <x:v>n.a.</x:v>
      </x:c>
      <x:c r="F119" s="89" t="str">
        <x:f>IF(AND(COUNT(D$7:D$12)=6,D$7&gt;=0,D$8&gt;=0,D$9&gt;-1,D$10&gt;=0,D$11&gt;=0,OR(D$12=0,D$12=1)),D$7+86*D$8,"n.a.")</x:f>
        <x:v>n.a.</x:v>
      </x:c>
      <x:c r="G119" s="89" t="str">
        <x:f>IF(AND(AND(COUNT(E$7:E$12)=6,E$7&gt;=0,E$8&gt;=0,E$9&gt;-1,E$10&gt;=0,E$11&gt;=0,OR(E$12=0,E$12=1)),ISNUMBER(G118)),G118*((1+E$9)^(1/12)+E$10/12*E$12-E$11/12)+E$8,"n.a.")</x:f>
        <x:v>n.a.</x:v>
      </x:c>
      <x:c r="H119" s="89" t="str">
        <x:f>IF(AND(AND(COUNT(E$7:E$12)=6,E$7&gt;=0,E$8&gt;=0,E$9&gt;-1,E$10&gt;=0,E$11&gt;=0,OR(E$12=0,E$12=1)),COUNT(H118,G118)=2),H118+G118*E$10/12*(1-E$12),"n.a.")</x:f>
        <x:v>n.a.</x:v>
      </x:c>
      <x:c r="I119" s="89" t="str">
        <x:f>IF(AND(COUNT(E$7:E$12)=6,E$7&gt;=0,E$8&gt;=0,E$9&gt;-1,E$10&gt;=0,E$11&gt;=0,OR(E$12=0,E$12=1)),E$7+86*E$8,"n.a.")</x:f>
        <x:v>n.a.</x:v>
      </x:c>
      <x:c r="J119" s="89" t="str">
        <x:f>IF(AND(AND(COUNT(F$7:F$12)=6,F$7&gt;=0,F$8&gt;=0,F$9&gt;-1,F$10&gt;=0,F$11&gt;=0,OR(F$12=0,F$12=1)),ISNUMBER(J118)),J118*((1+F$9)^(1/12)+F$10/12*F$12-F$11/12)+F$8,"n.a.")</x:f>
        <x:v>n.a.</x:v>
      </x:c>
      <x:c r="K119" s="89" t="str">
        <x:f>IF(AND(AND(COUNT(F$7:F$12)=6,F$7&gt;=0,F$8&gt;=0,F$9&gt;-1,F$10&gt;=0,F$11&gt;=0,OR(F$12=0,F$12=1)),COUNT(K118,J118)=2),K118+J118*F$10/12*(1-F$12),"n.a.")</x:f>
        <x:v>n.a.</x:v>
      </x:c>
      <x:c r="L119" s="89" t="str">
        <x:f>IF(AND(COUNT(F$7:F$12)=6,F$7&gt;=0,F$8&gt;=0,F$9&gt;-1,F$10&gt;=0,F$11&gt;=0,OR(F$12=0,F$12=1)),F$7+86*F$8,"n.a.")</x:f>
        <x:v>n.a.</x:v>
      </x:c>
    </x:row>
    <x:row r="120">
      <x:c r="C120" t="n">
        <x:v>87</x:v>
      </x:c>
      <x:c r="D120" s="89" t="str">
        <x:f>IF(AND(AND(COUNT(D$7:D$12)=6,D$7&gt;=0,D$8&gt;=0,D$9&gt;-1,D$10&gt;=0,D$11&gt;=0,OR(D$12=0,D$12=1)),ISNUMBER(D119)),D119*((1+D$9)^(1/12)+D$10/12*D$12-D$11/12)+D$8,"n.a.")</x:f>
        <x:v>n.a.</x:v>
      </x:c>
      <x:c r="E120" s="89" t="str">
        <x:f>IF(AND(AND(COUNT(D$7:D$12)=6,D$7&gt;=0,D$8&gt;=0,D$9&gt;-1,D$10&gt;=0,D$11&gt;=0,OR(D$12=0,D$12=1)),COUNT(E119,D119)=2),E119+D119*D$10/12*(1-D$12),"n.a.")</x:f>
        <x:v>n.a.</x:v>
      </x:c>
      <x:c r="F120" s="89" t="str">
        <x:f>IF(AND(COUNT(D$7:D$12)=6,D$7&gt;=0,D$8&gt;=0,D$9&gt;-1,D$10&gt;=0,D$11&gt;=0,OR(D$12=0,D$12=1)),D$7+87*D$8,"n.a.")</x:f>
        <x:v>n.a.</x:v>
      </x:c>
      <x:c r="G120" s="89" t="str">
        <x:f>IF(AND(AND(COUNT(E$7:E$12)=6,E$7&gt;=0,E$8&gt;=0,E$9&gt;-1,E$10&gt;=0,E$11&gt;=0,OR(E$12=0,E$12=1)),ISNUMBER(G119)),G119*((1+E$9)^(1/12)+E$10/12*E$12-E$11/12)+E$8,"n.a.")</x:f>
        <x:v>n.a.</x:v>
      </x:c>
      <x:c r="H120" s="89" t="str">
        <x:f>IF(AND(AND(COUNT(E$7:E$12)=6,E$7&gt;=0,E$8&gt;=0,E$9&gt;-1,E$10&gt;=0,E$11&gt;=0,OR(E$12=0,E$12=1)),COUNT(H119,G119)=2),H119+G119*E$10/12*(1-E$12),"n.a.")</x:f>
        <x:v>n.a.</x:v>
      </x:c>
      <x:c r="I120" s="89" t="str">
        <x:f>IF(AND(COUNT(E$7:E$12)=6,E$7&gt;=0,E$8&gt;=0,E$9&gt;-1,E$10&gt;=0,E$11&gt;=0,OR(E$12=0,E$12=1)),E$7+87*E$8,"n.a.")</x:f>
        <x:v>n.a.</x:v>
      </x:c>
      <x:c r="J120" s="89" t="str">
        <x:f>IF(AND(AND(COUNT(F$7:F$12)=6,F$7&gt;=0,F$8&gt;=0,F$9&gt;-1,F$10&gt;=0,F$11&gt;=0,OR(F$12=0,F$12=1)),ISNUMBER(J119)),J119*((1+F$9)^(1/12)+F$10/12*F$12-F$11/12)+F$8,"n.a.")</x:f>
        <x:v>n.a.</x:v>
      </x:c>
      <x:c r="K120" s="89" t="str">
        <x:f>IF(AND(AND(COUNT(F$7:F$12)=6,F$7&gt;=0,F$8&gt;=0,F$9&gt;-1,F$10&gt;=0,F$11&gt;=0,OR(F$12=0,F$12=1)),COUNT(K119,J119)=2),K119+J119*F$10/12*(1-F$12),"n.a.")</x:f>
        <x:v>n.a.</x:v>
      </x:c>
      <x:c r="L120" s="89" t="str">
        <x:f>IF(AND(COUNT(F$7:F$12)=6,F$7&gt;=0,F$8&gt;=0,F$9&gt;-1,F$10&gt;=0,F$11&gt;=0,OR(F$12=0,F$12=1)),F$7+87*F$8,"n.a.")</x:f>
        <x:v>n.a.</x:v>
      </x:c>
    </x:row>
    <x:row r="121">
      <x:c r="C121" t="n">
        <x:v>88</x:v>
      </x:c>
      <x:c r="D121" s="89" t="str">
        <x:f>IF(AND(AND(COUNT(D$7:D$12)=6,D$7&gt;=0,D$8&gt;=0,D$9&gt;-1,D$10&gt;=0,D$11&gt;=0,OR(D$12=0,D$12=1)),ISNUMBER(D120)),D120*((1+D$9)^(1/12)+D$10/12*D$12-D$11/12)+D$8,"n.a.")</x:f>
        <x:v>n.a.</x:v>
      </x:c>
      <x:c r="E121" s="89" t="str">
        <x:f>IF(AND(AND(COUNT(D$7:D$12)=6,D$7&gt;=0,D$8&gt;=0,D$9&gt;-1,D$10&gt;=0,D$11&gt;=0,OR(D$12=0,D$12=1)),COUNT(E120,D120)=2),E120+D120*D$10/12*(1-D$12),"n.a.")</x:f>
        <x:v>n.a.</x:v>
      </x:c>
      <x:c r="F121" s="89" t="str">
        <x:f>IF(AND(COUNT(D$7:D$12)=6,D$7&gt;=0,D$8&gt;=0,D$9&gt;-1,D$10&gt;=0,D$11&gt;=0,OR(D$12=0,D$12=1)),D$7+88*D$8,"n.a.")</x:f>
        <x:v>n.a.</x:v>
      </x:c>
      <x:c r="G121" s="89" t="str">
        <x:f>IF(AND(AND(COUNT(E$7:E$12)=6,E$7&gt;=0,E$8&gt;=0,E$9&gt;-1,E$10&gt;=0,E$11&gt;=0,OR(E$12=0,E$12=1)),ISNUMBER(G120)),G120*((1+E$9)^(1/12)+E$10/12*E$12-E$11/12)+E$8,"n.a.")</x:f>
        <x:v>n.a.</x:v>
      </x:c>
      <x:c r="H121" s="89" t="str">
        <x:f>IF(AND(AND(COUNT(E$7:E$12)=6,E$7&gt;=0,E$8&gt;=0,E$9&gt;-1,E$10&gt;=0,E$11&gt;=0,OR(E$12=0,E$12=1)),COUNT(H120,G120)=2),H120+G120*E$10/12*(1-E$12),"n.a.")</x:f>
        <x:v>n.a.</x:v>
      </x:c>
      <x:c r="I121" s="89" t="str">
        <x:f>IF(AND(COUNT(E$7:E$12)=6,E$7&gt;=0,E$8&gt;=0,E$9&gt;-1,E$10&gt;=0,E$11&gt;=0,OR(E$12=0,E$12=1)),E$7+88*E$8,"n.a.")</x:f>
        <x:v>n.a.</x:v>
      </x:c>
      <x:c r="J121" s="89" t="str">
        <x:f>IF(AND(AND(COUNT(F$7:F$12)=6,F$7&gt;=0,F$8&gt;=0,F$9&gt;-1,F$10&gt;=0,F$11&gt;=0,OR(F$12=0,F$12=1)),ISNUMBER(J120)),J120*((1+F$9)^(1/12)+F$10/12*F$12-F$11/12)+F$8,"n.a.")</x:f>
        <x:v>n.a.</x:v>
      </x:c>
      <x:c r="K121" s="89" t="str">
        <x:f>IF(AND(AND(COUNT(F$7:F$12)=6,F$7&gt;=0,F$8&gt;=0,F$9&gt;-1,F$10&gt;=0,F$11&gt;=0,OR(F$12=0,F$12=1)),COUNT(K120,J120)=2),K120+J120*F$10/12*(1-F$12),"n.a.")</x:f>
        <x:v>n.a.</x:v>
      </x:c>
      <x:c r="L121" s="89" t="str">
        <x:f>IF(AND(COUNT(F$7:F$12)=6,F$7&gt;=0,F$8&gt;=0,F$9&gt;-1,F$10&gt;=0,F$11&gt;=0,OR(F$12=0,F$12=1)),F$7+88*F$8,"n.a.")</x:f>
        <x:v>n.a.</x:v>
      </x:c>
    </x:row>
    <x:row r="122">
      <x:c r="C122" t="n">
        <x:v>89</x:v>
      </x:c>
      <x:c r="D122" s="89" t="str">
        <x:f>IF(AND(AND(COUNT(D$7:D$12)=6,D$7&gt;=0,D$8&gt;=0,D$9&gt;-1,D$10&gt;=0,D$11&gt;=0,OR(D$12=0,D$12=1)),ISNUMBER(D121)),D121*((1+D$9)^(1/12)+D$10/12*D$12-D$11/12)+D$8,"n.a.")</x:f>
        <x:v>n.a.</x:v>
      </x:c>
      <x:c r="E122" s="89" t="str">
        <x:f>IF(AND(AND(COUNT(D$7:D$12)=6,D$7&gt;=0,D$8&gt;=0,D$9&gt;-1,D$10&gt;=0,D$11&gt;=0,OR(D$12=0,D$12=1)),COUNT(E121,D121)=2),E121+D121*D$10/12*(1-D$12),"n.a.")</x:f>
        <x:v>n.a.</x:v>
      </x:c>
      <x:c r="F122" s="89" t="str">
        <x:f>IF(AND(COUNT(D$7:D$12)=6,D$7&gt;=0,D$8&gt;=0,D$9&gt;-1,D$10&gt;=0,D$11&gt;=0,OR(D$12=0,D$12=1)),D$7+89*D$8,"n.a.")</x:f>
        <x:v>n.a.</x:v>
      </x:c>
      <x:c r="G122" s="89" t="str">
        <x:f>IF(AND(AND(COUNT(E$7:E$12)=6,E$7&gt;=0,E$8&gt;=0,E$9&gt;-1,E$10&gt;=0,E$11&gt;=0,OR(E$12=0,E$12=1)),ISNUMBER(G121)),G121*((1+E$9)^(1/12)+E$10/12*E$12-E$11/12)+E$8,"n.a.")</x:f>
        <x:v>n.a.</x:v>
      </x:c>
      <x:c r="H122" s="89" t="str">
        <x:f>IF(AND(AND(COUNT(E$7:E$12)=6,E$7&gt;=0,E$8&gt;=0,E$9&gt;-1,E$10&gt;=0,E$11&gt;=0,OR(E$12=0,E$12=1)),COUNT(H121,G121)=2),H121+G121*E$10/12*(1-E$12),"n.a.")</x:f>
        <x:v>n.a.</x:v>
      </x:c>
      <x:c r="I122" s="89" t="str">
        <x:f>IF(AND(COUNT(E$7:E$12)=6,E$7&gt;=0,E$8&gt;=0,E$9&gt;-1,E$10&gt;=0,E$11&gt;=0,OR(E$12=0,E$12=1)),E$7+89*E$8,"n.a.")</x:f>
        <x:v>n.a.</x:v>
      </x:c>
      <x:c r="J122" s="89" t="str">
        <x:f>IF(AND(AND(COUNT(F$7:F$12)=6,F$7&gt;=0,F$8&gt;=0,F$9&gt;-1,F$10&gt;=0,F$11&gt;=0,OR(F$12=0,F$12=1)),ISNUMBER(J121)),J121*((1+F$9)^(1/12)+F$10/12*F$12-F$11/12)+F$8,"n.a.")</x:f>
        <x:v>n.a.</x:v>
      </x:c>
      <x:c r="K122" s="89" t="str">
        <x:f>IF(AND(AND(COUNT(F$7:F$12)=6,F$7&gt;=0,F$8&gt;=0,F$9&gt;-1,F$10&gt;=0,F$11&gt;=0,OR(F$12=0,F$12=1)),COUNT(K121,J121)=2),K121+J121*F$10/12*(1-F$12),"n.a.")</x:f>
        <x:v>n.a.</x:v>
      </x:c>
      <x:c r="L122" s="89" t="str">
        <x:f>IF(AND(COUNT(F$7:F$12)=6,F$7&gt;=0,F$8&gt;=0,F$9&gt;-1,F$10&gt;=0,F$11&gt;=0,OR(F$12=0,F$12=1)),F$7+89*F$8,"n.a.")</x:f>
        <x:v>n.a.</x:v>
      </x:c>
    </x:row>
    <x:row r="123">
      <x:c r="C123" t="n">
        <x:v>90</x:v>
      </x:c>
      <x:c r="D123" s="89" t="str">
        <x:f>IF(AND(AND(COUNT(D$7:D$12)=6,D$7&gt;=0,D$8&gt;=0,D$9&gt;-1,D$10&gt;=0,D$11&gt;=0,OR(D$12=0,D$12=1)),ISNUMBER(D122)),D122*((1+D$9)^(1/12)+D$10/12*D$12-D$11/12)+D$8,"n.a.")</x:f>
        <x:v>n.a.</x:v>
      </x:c>
      <x:c r="E123" s="89" t="str">
        <x:f>IF(AND(AND(COUNT(D$7:D$12)=6,D$7&gt;=0,D$8&gt;=0,D$9&gt;-1,D$10&gt;=0,D$11&gt;=0,OR(D$12=0,D$12=1)),COUNT(E122,D122)=2),E122+D122*D$10/12*(1-D$12),"n.a.")</x:f>
        <x:v>n.a.</x:v>
      </x:c>
      <x:c r="F123" s="89" t="str">
        <x:f>IF(AND(COUNT(D$7:D$12)=6,D$7&gt;=0,D$8&gt;=0,D$9&gt;-1,D$10&gt;=0,D$11&gt;=0,OR(D$12=0,D$12=1)),D$7+90*D$8,"n.a.")</x:f>
        <x:v>n.a.</x:v>
      </x:c>
      <x:c r="G123" s="89" t="str">
        <x:f>IF(AND(AND(COUNT(E$7:E$12)=6,E$7&gt;=0,E$8&gt;=0,E$9&gt;-1,E$10&gt;=0,E$11&gt;=0,OR(E$12=0,E$12=1)),ISNUMBER(G122)),G122*((1+E$9)^(1/12)+E$10/12*E$12-E$11/12)+E$8,"n.a.")</x:f>
        <x:v>n.a.</x:v>
      </x:c>
      <x:c r="H123" s="89" t="str">
        <x:f>IF(AND(AND(COUNT(E$7:E$12)=6,E$7&gt;=0,E$8&gt;=0,E$9&gt;-1,E$10&gt;=0,E$11&gt;=0,OR(E$12=0,E$12=1)),COUNT(H122,G122)=2),H122+G122*E$10/12*(1-E$12),"n.a.")</x:f>
        <x:v>n.a.</x:v>
      </x:c>
      <x:c r="I123" s="89" t="str">
        <x:f>IF(AND(COUNT(E$7:E$12)=6,E$7&gt;=0,E$8&gt;=0,E$9&gt;-1,E$10&gt;=0,E$11&gt;=0,OR(E$12=0,E$12=1)),E$7+90*E$8,"n.a.")</x:f>
        <x:v>n.a.</x:v>
      </x:c>
      <x:c r="J123" s="89" t="str">
        <x:f>IF(AND(AND(COUNT(F$7:F$12)=6,F$7&gt;=0,F$8&gt;=0,F$9&gt;-1,F$10&gt;=0,F$11&gt;=0,OR(F$12=0,F$12=1)),ISNUMBER(J122)),J122*((1+F$9)^(1/12)+F$10/12*F$12-F$11/12)+F$8,"n.a.")</x:f>
        <x:v>n.a.</x:v>
      </x:c>
      <x:c r="K123" s="89" t="str">
        <x:f>IF(AND(AND(COUNT(F$7:F$12)=6,F$7&gt;=0,F$8&gt;=0,F$9&gt;-1,F$10&gt;=0,F$11&gt;=0,OR(F$12=0,F$12=1)),COUNT(K122,J122)=2),K122+J122*F$10/12*(1-F$12),"n.a.")</x:f>
        <x:v>n.a.</x:v>
      </x:c>
      <x:c r="L123" s="89" t="str">
        <x:f>IF(AND(COUNT(F$7:F$12)=6,F$7&gt;=0,F$8&gt;=0,F$9&gt;-1,F$10&gt;=0,F$11&gt;=0,OR(F$12=0,F$12=1)),F$7+90*F$8,"n.a.")</x:f>
        <x:v>n.a.</x:v>
      </x:c>
    </x:row>
    <x:row r="124">
      <x:c r="C124" t="n">
        <x:v>91</x:v>
      </x:c>
      <x:c r="D124" s="89" t="str">
        <x:f>IF(AND(AND(COUNT(D$7:D$12)=6,D$7&gt;=0,D$8&gt;=0,D$9&gt;-1,D$10&gt;=0,D$11&gt;=0,OR(D$12=0,D$12=1)),ISNUMBER(D123)),D123*((1+D$9)^(1/12)+D$10/12*D$12-D$11/12)+D$8,"n.a.")</x:f>
        <x:v>n.a.</x:v>
      </x:c>
      <x:c r="E124" s="89" t="str">
        <x:f>IF(AND(AND(COUNT(D$7:D$12)=6,D$7&gt;=0,D$8&gt;=0,D$9&gt;-1,D$10&gt;=0,D$11&gt;=0,OR(D$12=0,D$12=1)),COUNT(E123,D123)=2),E123+D123*D$10/12*(1-D$12),"n.a.")</x:f>
        <x:v>n.a.</x:v>
      </x:c>
      <x:c r="F124" s="89" t="str">
        <x:f>IF(AND(COUNT(D$7:D$12)=6,D$7&gt;=0,D$8&gt;=0,D$9&gt;-1,D$10&gt;=0,D$11&gt;=0,OR(D$12=0,D$12=1)),D$7+91*D$8,"n.a.")</x:f>
        <x:v>n.a.</x:v>
      </x:c>
      <x:c r="G124" s="89" t="str">
        <x:f>IF(AND(AND(COUNT(E$7:E$12)=6,E$7&gt;=0,E$8&gt;=0,E$9&gt;-1,E$10&gt;=0,E$11&gt;=0,OR(E$12=0,E$12=1)),ISNUMBER(G123)),G123*((1+E$9)^(1/12)+E$10/12*E$12-E$11/12)+E$8,"n.a.")</x:f>
        <x:v>n.a.</x:v>
      </x:c>
      <x:c r="H124" s="89" t="str">
        <x:f>IF(AND(AND(COUNT(E$7:E$12)=6,E$7&gt;=0,E$8&gt;=0,E$9&gt;-1,E$10&gt;=0,E$11&gt;=0,OR(E$12=0,E$12=1)),COUNT(H123,G123)=2),H123+G123*E$10/12*(1-E$12),"n.a.")</x:f>
        <x:v>n.a.</x:v>
      </x:c>
      <x:c r="I124" s="89" t="str">
        <x:f>IF(AND(COUNT(E$7:E$12)=6,E$7&gt;=0,E$8&gt;=0,E$9&gt;-1,E$10&gt;=0,E$11&gt;=0,OR(E$12=0,E$12=1)),E$7+91*E$8,"n.a.")</x:f>
        <x:v>n.a.</x:v>
      </x:c>
      <x:c r="J124" s="89" t="str">
        <x:f>IF(AND(AND(COUNT(F$7:F$12)=6,F$7&gt;=0,F$8&gt;=0,F$9&gt;-1,F$10&gt;=0,F$11&gt;=0,OR(F$12=0,F$12=1)),ISNUMBER(J123)),J123*((1+F$9)^(1/12)+F$10/12*F$12-F$11/12)+F$8,"n.a.")</x:f>
        <x:v>n.a.</x:v>
      </x:c>
      <x:c r="K124" s="89" t="str">
        <x:f>IF(AND(AND(COUNT(F$7:F$12)=6,F$7&gt;=0,F$8&gt;=0,F$9&gt;-1,F$10&gt;=0,F$11&gt;=0,OR(F$12=0,F$12=1)),COUNT(K123,J123)=2),K123+J123*F$10/12*(1-F$12),"n.a.")</x:f>
        <x:v>n.a.</x:v>
      </x:c>
      <x:c r="L124" s="89" t="str">
        <x:f>IF(AND(COUNT(F$7:F$12)=6,F$7&gt;=0,F$8&gt;=0,F$9&gt;-1,F$10&gt;=0,F$11&gt;=0,OR(F$12=0,F$12=1)),F$7+91*F$8,"n.a.")</x:f>
        <x:v>n.a.</x:v>
      </x:c>
    </x:row>
    <x:row r="125">
      <x:c r="C125" t="n">
        <x:v>92</x:v>
      </x:c>
      <x:c r="D125" s="89" t="str">
        <x:f>IF(AND(AND(COUNT(D$7:D$12)=6,D$7&gt;=0,D$8&gt;=0,D$9&gt;-1,D$10&gt;=0,D$11&gt;=0,OR(D$12=0,D$12=1)),ISNUMBER(D124)),D124*((1+D$9)^(1/12)+D$10/12*D$12-D$11/12)+D$8,"n.a.")</x:f>
        <x:v>n.a.</x:v>
      </x:c>
      <x:c r="E125" s="89" t="str">
        <x:f>IF(AND(AND(COUNT(D$7:D$12)=6,D$7&gt;=0,D$8&gt;=0,D$9&gt;-1,D$10&gt;=0,D$11&gt;=0,OR(D$12=0,D$12=1)),COUNT(E124,D124)=2),E124+D124*D$10/12*(1-D$12),"n.a.")</x:f>
        <x:v>n.a.</x:v>
      </x:c>
      <x:c r="F125" s="89" t="str">
        <x:f>IF(AND(COUNT(D$7:D$12)=6,D$7&gt;=0,D$8&gt;=0,D$9&gt;-1,D$10&gt;=0,D$11&gt;=0,OR(D$12=0,D$12=1)),D$7+92*D$8,"n.a.")</x:f>
        <x:v>n.a.</x:v>
      </x:c>
      <x:c r="G125" s="89" t="str">
        <x:f>IF(AND(AND(COUNT(E$7:E$12)=6,E$7&gt;=0,E$8&gt;=0,E$9&gt;-1,E$10&gt;=0,E$11&gt;=0,OR(E$12=0,E$12=1)),ISNUMBER(G124)),G124*((1+E$9)^(1/12)+E$10/12*E$12-E$11/12)+E$8,"n.a.")</x:f>
        <x:v>n.a.</x:v>
      </x:c>
      <x:c r="H125" s="89" t="str">
        <x:f>IF(AND(AND(COUNT(E$7:E$12)=6,E$7&gt;=0,E$8&gt;=0,E$9&gt;-1,E$10&gt;=0,E$11&gt;=0,OR(E$12=0,E$12=1)),COUNT(H124,G124)=2),H124+G124*E$10/12*(1-E$12),"n.a.")</x:f>
        <x:v>n.a.</x:v>
      </x:c>
      <x:c r="I125" s="89" t="str">
        <x:f>IF(AND(COUNT(E$7:E$12)=6,E$7&gt;=0,E$8&gt;=0,E$9&gt;-1,E$10&gt;=0,E$11&gt;=0,OR(E$12=0,E$12=1)),E$7+92*E$8,"n.a.")</x:f>
        <x:v>n.a.</x:v>
      </x:c>
      <x:c r="J125" s="89" t="str">
        <x:f>IF(AND(AND(COUNT(F$7:F$12)=6,F$7&gt;=0,F$8&gt;=0,F$9&gt;-1,F$10&gt;=0,F$11&gt;=0,OR(F$12=0,F$12=1)),ISNUMBER(J124)),J124*((1+F$9)^(1/12)+F$10/12*F$12-F$11/12)+F$8,"n.a.")</x:f>
        <x:v>n.a.</x:v>
      </x:c>
      <x:c r="K125" s="89" t="str">
        <x:f>IF(AND(AND(COUNT(F$7:F$12)=6,F$7&gt;=0,F$8&gt;=0,F$9&gt;-1,F$10&gt;=0,F$11&gt;=0,OR(F$12=0,F$12=1)),COUNT(K124,J124)=2),K124+J124*F$10/12*(1-F$12),"n.a.")</x:f>
        <x:v>n.a.</x:v>
      </x:c>
      <x:c r="L125" s="89" t="str">
        <x:f>IF(AND(COUNT(F$7:F$12)=6,F$7&gt;=0,F$8&gt;=0,F$9&gt;-1,F$10&gt;=0,F$11&gt;=0,OR(F$12=0,F$12=1)),F$7+92*F$8,"n.a.")</x:f>
        <x:v>n.a.</x:v>
      </x:c>
    </x:row>
    <x:row r="126">
      <x:c r="C126" t="n">
        <x:v>93</x:v>
      </x:c>
      <x:c r="D126" s="89" t="str">
        <x:f>IF(AND(AND(COUNT(D$7:D$12)=6,D$7&gt;=0,D$8&gt;=0,D$9&gt;-1,D$10&gt;=0,D$11&gt;=0,OR(D$12=0,D$12=1)),ISNUMBER(D125)),D125*((1+D$9)^(1/12)+D$10/12*D$12-D$11/12)+D$8,"n.a.")</x:f>
        <x:v>n.a.</x:v>
      </x:c>
      <x:c r="E126" s="89" t="str">
        <x:f>IF(AND(AND(COUNT(D$7:D$12)=6,D$7&gt;=0,D$8&gt;=0,D$9&gt;-1,D$10&gt;=0,D$11&gt;=0,OR(D$12=0,D$12=1)),COUNT(E125,D125)=2),E125+D125*D$10/12*(1-D$12),"n.a.")</x:f>
        <x:v>n.a.</x:v>
      </x:c>
      <x:c r="F126" s="89" t="str">
        <x:f>IF(AND(COUNT(D$7:D$12)=6,D$7&gt;=0,D$8&gt;=0,D$9&gt;-1,D$10&gt;=0,D$11&gt;=0,OR(D$12=0,D$12=1)),D$7+93*D$8,"n.a.")</x:f>
        <x:v>n.a.</x:v>
      </x:c>
      <x:c r="G126" s="89" t="str">
        <x:f>IF(AND(AND(COUNT(E$7:E$12)=6,E$7&gt;=0,E$8&gt;=0,E$9&gt;-1,E$10&gt;=0,E$11&gt;=0,OR(E$12=0,E$12=1)),ISNUMBER(G125)),G125*((1+E$9)^(1/12)+E$10/12*E$12-E$11/12)+E$8,"n.a.")</x:f>
        <x:v>n.a.</x:v>
      </x:c>
      <x:c r="H126" s="89" t="str">
        <x:f>IF(AND(AND(COUNT(E$7:E$12)=6,E$7&gt;=0,E$8&gt;=0,E$9&gt;-1,E$10&gt;=0,E$11&gt;=0,OR(E$12=0,E$12=1)),COUNT(H125,G125)=2),H125+G125*E$10/12*(1-E$12),"n.a.")</x:f>
        <x:v>n.a.</x:v>
      </x:c>
      <x:c r="I126" s="89" t="str">
        <x:f>IF(AND(COUNT(E$7:E$12)=6,E$7&gt;=0,E$8&gt;=0,E$9&gt;-1,E$10&gt;=0,E$11&gt;=0,OR(E$12=0,E$12=1)),E$7+93*E$8,"n.a.")</x:f>
        <x:v>n.a.</x:v>
      </x:c>
      <x:c r="J126" s="89" t="str">
        <x:f>IF(AND(AND(COUNT(F$7:F$12)=6,F$7&gt;=0,F$8&gt;=0,F$9&gt;-1,F$10&gt;=0,F$11&gt;=0,OR(F$12=0,F$12=1)),ISNUMBER(J125)),J125*((1+F$9)^(1/12)+F$10/12*F$12-F$11/12)+F$8,"n.a.")</x:f>
        <x:v>n.a.</x:v>
      </x:c>
      <x:c r="K126" s="89" t="str">
        <x:f>IF(AND(AND(COUNT(F$7:F$12)=6,F$7&gt;=0,F$8&gt;=0,F$9&gt;-1,F$10&gt;=0,F$11&gt;=0,OR(F$12=0,F$12=1)),COUNT(K125,J125)=2),K125+J125*F$10/12*(1-F$12),"n.a.")</x:f>
        <x:v>n.a.</x:v>
      </x:c>
      <x:c r="L126" s="89" t="str">
        <x:f>IF(AND(COUNT(F$7:F$12)=6,F$7&gt;=0,F$8&gt;=0,F$9&gt;-1,F$10&gt;=0,F$11&gt;=0,OR(F$12=0,F$12=1)),F$7+93*F$8,"n.a.")</x:f>
        <x:v>n.a.</x:v>
      </x:c>
    </x:row>
    <x:row r="127">
      <x:c r="C127" t="n">
        <x:v>94</x:v>
      </x:c>
      <x:c r="D127" s="89" t="str">
        <x:f>IF(AND(AND(COUNT(D$7:D$12)=6,D$7&gt;=0,D$8&gt;=0,D$9&gt;-1,D$10&gt;=0,D$11&gt;=0,OR(D$12=0,D$12=1)),ISNUMBER(D126)),D126*((1+D$9)^(1/12)+D$10/12*D$12-D$11/12)+D$8,"n.a.")</x:f>
        <x:v>n.a.</x:v>
      </x:c>
      <x:c r="E127" s="89" t="str">
        <x:f>IF(AND(AND(COUNT(D$7:D$12)=6,D$7&gt;=0,D$8&gt;=0,D$9&gt;-1,D$10&gt;=0,D$11&gt;=0,OR(D$12=0,D$12=1)),COUNT(E126,D126)=2),E126+D126*D$10/12*(1-D$12),"n.a.")</x:f>
        <x:v>n.a.</x:v>
      </x:c>
      <x:c r="F127" s="89" t="str">
        <x:f>IF(AND(COUNT(D$7:D$12)=6,D$7&gt;=0,D$8&gt;=0,D$9&gt;-1,D$10&gt;=0,D$11&gt;=0,OR(D$12=0,D$12=1)),D$7+94*D$8,"n.a.")</x:f>
        <x:v>n.a.</x:v>
      </x:c>
      <x:c r="G127" s="89" t="str">
        <x:f>IF(AND(AND(COUNT(E$7:E$12)=6,E$7&gt;=0,E$8&gt;=0,E$9&gt;-1,E$10&gt;=0,E$11&gt;=0,OR(E$12=0,E$12=1)),ISNUMBER(G126)),G126*((1+E$9)^(1/12)+E$10/12*E$12-E$11/12)+E$8,"n.a.")</x:f>
        <x:v>n.a.</x:v>
      </x:c>
      <x:c r="H127" s="89" t="str">
        <x:f>IF(AND(AND(COUNT(E$7:E$12)=6,E$7&gt;=0,E$8&gt;=0,E$9&gt;-1,E$10&gt;=0,E$11&gt;=0,OR(E$12=0,E$12=1)),COUNT(H126,G126)=2),H126+G126*E$10/12*(1-E$12),"n.a.")</x:f>
        <x:v>n.a.</x:v>
      </x:c>
      <x:c r="I127" s="89" t="str">
        <x:f>IF(AND(COUNT(E$7:E$12)=6,E$7&gt;=0,E$8&gt;=0,E$9&gt;-1,E$10&gt;=0,E$11&gt;=0,OR(E$12=0,E$12=1)),E$7+94*E$8,"n.a.")</x:f>
        <x:v>n.a.</x:v>
      </x:c>
      <x:c r="J127" s="89" t="str">
        <x:f>IF(AND(AND(COUNT(F$7:F$12)=6,F$7&gt;=0,F$8&gt;=0,F$9&gt;-1,F$10&gt;=0,F$11&gt;=0,OR(F$12=0,F$12=1)),ISNUMBER(J126)),J126*((1+F$9)^(1/12)+F$10/12*F$12-F$11/12)+F$8,"n.a.")</x:f>
        <x:v>n.a.</x:v>
      </x:c>
      <x:c r="K127" s="89" t="str">
        <x:f>IF(AND(AND(COUNT(F$7:F$12)=6,F$7&gt;=0,F$8&gt;=0,F$9&gt;-1,F$10&gt;=0,F$11&gt;=0,OR(F$12=0,F$12=1)),COUNT(K126,J126)=2),K126+J126*F$10/12*(1-F$12),"n.a.")</x:f>
        <x:v>n.a.</x:v>
      </x:c>
      <x:c r="L127" s="89" t="str">
        <x:f>IF(AND(COUNT(F$7:F$12)=6,F$7&gt;=0,F$8&gt;=0,F$9&gt;-1,F$10&gt;=0,F$11&gt;=0,OR(F$12=0,F$12=1)),F$7+94*F$8,"n.a.")</x:f>
        <x:v>n.a.</x:v>
      </x:c>
    </x:row>
    <x:row r="128">
      <x:c r="C128" t="n">
        <x:v>95</x:v>
      </x:c>
      <x:c r="D128" s="89" t="str">
        <x:f>IF(AND(AND(COUNT(D$7:D$12)=6,D$7&gt;=0,D$8&gt;=0,D$9&gt;-1,D$10&gt;=0,D$11&gt;=0,OR(D$12=0,D$12=1)),ISNUMBER(D127)),D127*((1+D$9)^(1/12)+D$10/12*D$12-D$11/12)+D$8,"n.a.")</x:f>
        <x:v>n.a.</x:v>
      </x:c>
      <x:c r="E128" s="89" t="str">
        <x:f>IF(AND(AND(COUNT(D$7:D$12)=6,D$7&gt;=0,D$8&gt;=0,D$9&gt;-1,D$10&gt;=0,D$11&gt;=0,OR(D$12=0,D$12=1)),COUNT(E127,D127)=2),E127+D127*D$10/12*(1-D$12),"n.a.")</x:f>
        <x:v>n.a.</x:v>
      </x:c>
      <x:c r="F128" s="89" t="str">
        <x:f>IF(AND(COUNT(D$7:D$12)=6,D$7&gt;=0,D$8&gt;=0,D$9&gt;-1,D$10&gt;=0,D$11&gt;=0,OR(D$12=0,D$12=1)),D$7+95*D$8,"n.a.")</x:f>
        <x:v>n.a.</x:v>
      </x:c>
      <x:c r="G128" s="89" t="str">
        <x:f>IF(AND(AND(COUNT(E$7:E$12)=6,E$7&gt;=0,E$8&gt;=0,E$9&gt;-1,E$10&gt;=0,E$11&gt;=0,OR(E$12=0,E$12=1)),ISNUMBER(G127)),G127*((1+E$9)^(1/12)+E$10/12*E$12-E$11/12)+E$8,"n.a.")</x:f>
        <x:v>n.a.</x:v>
      </x:c>
      <x:c r="H128" s="89" t="str">
        <x:f>IF(AND(AND(COUNT(E$7:E$12)=6,E$7&gt;=0,E$8&gt;=0,E$9&gt;-1,E$10&gt;=0,E$11&gt;=0,OR(E$12=0,E$12=1)),COUNT(H127,G127)=2),H127+G127*E$10/12*(1-E$12),"n.a.")</x:f>
        <x:v>n.a.</x:v>
      </x:c>
      <x:c r="I128" s="89" t="str">
        <x:f>IF(AND(COUNT(E$7:E$12)=6,E$7&gt;=0,E$8&gt;=0,E$9&gt;-1,E$10&gt;=0,E$11&gt;=0,OR(E$12=0,E$12=1)),E$7+95*E$8,"n.a.")</x:f>
        <x:v>n.a.</x:v>
      </x:c>
      <x:c r="J128" s="89" t="str">
        <x:f>IF(AND(AND(COUNT(F$7:F$12)=6,F$7&gt;=0,F$8&gt;=0,F$9&gt;-1,F$10&gt;=0,F$11&gt;=0,OR(F$12=0,F$12=1)),ISNUMBER(J127)),J127*((1+F$9)^(1/12)+F$10/12*F$12-F$11/12)+F$8,"n.a.")</x:f>
        <x:v>n.a.</x:v>
      </x:c>
      <x:c r="K128" s="89" t="str">
        <x:f>IF(AND(AND(COUNT(F$7:F$12)=6,F$7&gt;=0,F$8&gt;=0,F$9&gt;-1,F$10&gt;=0,F$11&gt;=0,OR(F$12=0,F$12=1)),COUNT(K127,J127)=2),K127+J127*F$10/12*(1-F$12),"n.a.")</x:f>
        <x:v>n.a.</x:v>
      </x:c>
      <x:c r="L128" s="89" t="str">
        <x:f>IF(AND(COUNT(F$7:F$12)=6,F$7&gt;=0,F$8&gt;=0,F$9&gt;-1,F$10&gt;=0,F$11&gt;=0,OR(F$12=0,F$12=1)),F$7+95*F$8,"n.a.")</x:f>
        <x:v>n.a.</x:v>
      </x:c>
    </x:row>
    <x:row r="129">
      <x:c r="C129" t="n">
        <x:v>96</x:v>
      </x:c>
      <x:c r="D129" s="89" t="str">
        <x:f>IF(AND(AND(COUNT(D$7:D$12)=6,D$7&gt;=0,D$8&gt;=0,D$9&gt;-1,D$10&gt;=0,D$11&gt;=0,OR(D$12=0,D$12=1)),ISNUMBER(D128)),D128*((1+D$9)^(1/12)+D$10/12*D$12-D$11/12)+D$8,"n.a.")</x:f>
        <x:v>n.a.</x:v>
      </x:c>
      <x:c r="E129" s="89" t="str">
        <x:f>IF(AND(AND(COUNT(D$7:D$12)=6,D$7&gt;=0,D$8&gt;=0,D$9&gt;-1,D$10&gt;=0,D$11&gt;=0,OR(D$12=0,D$12=1)),COUNT(E128,D128)=2),E128+D128*D$10/12*(1-D$12),"n.a.")</x:f>
        <x:v>n.a.</x:v>
      </x:c>
      <x:c r="F129" s="89" t="str">
        <x:f>IF(AND(COUNT(D$7:D$12)=6,D$7&gt;=0,D$8&gt;=0,D$9&gt;-1,D$10&gt;=0,D$11&gt;=0,OR(D$12=0,D$12=1)),D$7+96*D$8,"n.a.")</x:f>
        <x:v>n.a.</x:v>
      </x:c>
      <x:c r="G129" s="89" t="str">
        <x:f>IF(AND(AND(COUNT(E$7:E$12)=6,E$7&gt;=0,E$8&gt;=0,E$9&gt;-1,E$10&gt;=0,E$11&gt;=0,OR(E$12=0,E$12=1)),ISNUMBER(G128)),G128*((1+E$9)^(1/12)+E$10/12*E$12-E$11/12)+E$8,"n.a.")</x:f>
        <x:v>n.a.</x:v>
      </x:c>
      <x:c r="H129" s="89" t="str">
        <x:f>IF(AND(AND(COUNT(E$7:E$12)=6,E$7&gt;=0,E$8&gt;=0,E$9&gt;-1,E$10&gt;=0,E$11&gt;=0,OR(E$12=0,E$12=1)),COUNT(H128,G128)=2),H128+G128*E$10/12*(1-E$12),"n.a.")</x:f>
        <x:v>n.a.</x:v>
      </x:c>
      <x:c r="I129" s="89" t="str">
        <x:f>IF(AND(COUNT(E$7:E$12)=6,E$7&gt;=0,E$8&gt;=0,E$9&gt;-1,E$10&gt;=0,E$11&gt;=0,OR(E$12=0,E$12=1)),E$7+96*E$8,"n.a.")</x:f>
        <x:v>n.a.</x:v>
      </x:c>
      <x:c r="J129" s="89" t="str">
        <x:f>IF(AND(AND(COUNT(F$7:F$12)=6,F$7&gt;=0,F$8&gt;=0,F$9&gt;-1,F$10&gt;=0,F$11&gt;=0,OR(F$12=0,F$12=1)),ISNUMBER(J128)),J128*((1+F$9)^(1/12)+F$10/12*F$12-F$11/12)+F$8,"n.a.")</x:f>
        <x:v>n.a.</x:v>
      </x:c>
      <x:c r="K129" s="89" t="str">
        <x:f>IF(AND(AND(COUNT(F$7:F$12)=6,F$7&gt;=0,F$8&gt;=0,F$9&gt;-1,F$10&gt;=0,F$11&gt;=0,OR(F$12=0,F$12=1)),COUNT(K128,J128)=2),K128+J128*F$10/12*(1-F$12),"n.a.")</x:f>
        <x:v>n.a.</x:v>
      </x:c>
      <x:c r="L129" s="89" t="str">
        <x:f>IF(AND(COUNT(F$7:F$12)=6,F$7&gt;=0,F$8&gt;=0,F$9&gt;-1,F$10&gt;=0,F$11&gt;=0,OR(F$12=0,F$12=1)),F$7+96*F$8,"n.a.")</x:f>
        <x:v>n.a.</x:v>
      </x:c>
    </x:row>
    <x:row r="130">
      <x:c r="C130" t="n">
        <x:v>97</x:v>
      </x:c>
      <x:c r="D130" s="89" t="str">
        <x:f>IF(AND(AND(COUNT(D$7:D$12)=6,D$7&gt;=0,D$8&gt;=0,D$9&gt;-1,D$10&gt;=0,D$11&gt;=0,OR(D$12=0,D$12=1)),ISNUMBER(D129)),D129*((1+D$9)^(1/12)+D$10/12*D$12-D$11/12)+D$8,"n.a.")</x:f>
        <x:v>n.a.</x:v>
      </x:c>
      <x:c r="E130" s="89" t="str">
        <x:f>IF(AND(AND(COUNT(D$7:D$12)=6,D$7&gt;=0,D$8&gt;=0,D$9&gt;-1,D$10&gt;=0,D$11&gt;=0,OR(D$12=0,D$12=1)),COUNT(E129,D129)=2),E129+D129*D$10/12*(1-D$12),"n.a.")</x:f>
        <x:v>n.a.</x:v>
      </x:c>
      <x:c r="F130" s="89" t="str">
        <x:f>IF(AND(COUNT(D$7:D$12)=6,D$7&gt;=0,D$8&gt;=0,D$9&gt;-1,D$10&gt;=0,D$11&gt;=0,OR(D$12=0,D$12=1)),D$7+97*D$8,"n.a.")</x:f>
        <x:v>n.a.</x:v>
      </x:c>
      <x:c r="G130" s="89" t="str">
        <x:f>IF(AND(AND(COUNT(E$7:E$12)=6,E$7&gt;=0,E$8&gt;=0,E$9&gt;-1,E$10&gt;=0,E$11&gt;=0,OR(E$12=0,E$12=1)),ISNUMBER(G129)),G129*((1+E$9)^(1/12)+E$10/12*E$12-E$11/12)+E$8,"n.a.")</x:f>
        <x:v>n.a.</x:v>
      </x:c>
      <x:c r="H130" s="89" t="str">
        <x:f>IF(AND(AND(COUNT(E$7:E$12)=6,E$7&gt;=0,E$8&gt;=0,E$9&gt;-1,E$10&gt;=0,E$11&gt;=0,OR(E$12=0,E$12=1)),COUNT(H129,G129)=2),H129+G129*E$10/12*(1-E$12),"n.a.")</x:f>
        <x:v>n.a.</x:v>
      </x:c>
      <x:c r="I130" s="89" t="str">
        <x:f>IF(AND(COUNT(E$7:E$12)=6,E$7&gt;=0,E$8&gt;=0,E$9&gt;-1,E$10&gt;=0,E$11&gt;=0,OR(E$12=0,E$12=1)),E$7+97*E$8,"n.a.")</x:f>
        <x:v>n.a.</x:v>
      </x:c>
      <x:c r="J130" s="89" t="str">
        <x:f>IF(AND(AND(COUNT(F$7:F$12)=6,F$7&gt;=0,F$8&gt;=0,F$9&gt;-1,F$10&gt;=0,F$11&gt;=0,OR(F$12=0,F$12=1)),ISNUMBER(J129)),J129*((1+F$9)^(1/12)+F$10/12*F$12-F$11/12)+F$8,"n.a.")</x:f>
        <x:v>n.a.</x:v>
      </x:c>
      <x:c r="K130" s="89" t="str">
        <x:f>IF(AND(AND(COUNT(F$7:F$12)=6,F$7&gt;=0,F$8&gt;=0,F$9&gt;-1,F$10&gt;=0,F$11&gt;=0,OR(F$12=0,F$12=1)),COUNT(K129,J129)=2),K129+J129*F$10/12*(1-F$12),"n.a.")</x:f>
        <x:v>n.a.</x:v>
      </x:c>
      <x:c r="L130" s="89" t="str">
        <x:f>IF(AND(COUNT(F$7:F$12)=6,F$7&gt;=0,F$8&gt;=0,F$9&gt;-1,F$10&gt;=0,F$11&gt;=0,OR(F$12=0,F$12=1)),F$7+97*F$8,"n.a.")</x:f>
        <x:v>n.a.</x:v>
      </x:c>
    </x:row>
    <x:row r="131">
      <x:c r="C131" t="n">
        <x:v>98</x:v>
      </x:c>
      <x:c r="D131" s="89" t="str">
        <x:f>IF(AND(AND(COUNT(D$7:D$12)=6,D$7&gt;=0,D$8&gt;=0,D$9&gt;-1,D$10&gt;=0,D$11&gt;=0,OR(D$12=0,D$12=1)),ISNUMBER(D130)),D130*((1+D$9)^(1/12)+D$10/12*D$12-D$11/12)+D$8,"n.a.")</x:f>
        <x:v>n.a.</x:v>
      </x:c>
      <x:c r="E131" s="89" t="str">
        <x:f>IF(AND(AND(COUNT(D$7:D$12)=6,D$7&gt;=0,D$8&gt;=0,D$9&gt;-1,D$10&gt;=0,D$11&gt;=0,OR(D$12=0,D$12=1)),COUNT(E130,D130)=2),E130+D130*D$10/12*(1-D$12),"n.a.")</x:f>
        <x:v>n.a.</x:v>
      </x:c>
      <x:c r="F131" s="89" t="str">
        <x:f>IF(AND(COUNT(D$7:D$12)=6,D$7&gt;=0,D$8&gt;=0,D$9&gt;-1,D$10&gt;=0,D$11&gt;=0,OR(D$12=0,D$12=1)),D$7+98*D$8,"n.a.")</x:f>
        <x:v>n.a.</x:v>
      </x:c>
      <x:c r="G131" s="89" t="str">
        <x:f>IF(AND(AND(COUNT(E$7:E$12)=6,E$7&gt;=0,E$8&gt;=0,E$9&gt;-1,E$10&gt;=0,E$11&gt;=0,OR(E$12=0,E$12=1)),ISNUMBER(G130)),G130*((1+E$9)^(1/12)+E$10/12*E$12-E$11/12)+E$8,"n.a.")</x:f>
        <x:v>n.a.</x:v>
      </x:c>
      <x:c r="H131" s="89" t="str">
        <x:f>IF(AND(AND(COUNT(E$7:E$12)=6,E$7&gt;=0,E$8&gt;=0,E$9&gt;-1,E$10&gt;=0,E$11&gt;=0,OR(E$12=0,E$12=1)),COUNT(H130,G130)=2),H130+G130*E$10/12*(1-E$12),"n.a.")</x:f>
        <x:v>n.a.</x:v>
      </x:c>
      <x:c r="I131" s="89" t="str">
        <x:f>IF(AND(COUNT(E$7:E$12)=6,E$7&gt;=0,E$8&gt;=0,E$9&gt;-1,E$10&gt;=0,E$11&gt;=0,OR(E$12=0,E$12=1)),E$7+98*E$8,"n.a.")</x:f>
        <x:v>n.a.</x:v>
      </x:c>
      <x:c r="J131" s="89" t="str">
        <x:f>IF(AND(AND(COUNT(F$7:F$12)=6,F$7&gt;=0,F$8&gt;=0,F$9&gt;-1,F$10&gt;=0,F$11&gt;=0,OR(F$12=0,F$12=1)),ISNUMBER(J130)),J130*((1+F$9)^(1/12)+F$10/12*F$12-F$11/12)+F$8,"n.a.")</x:f>
        <x:v>n.a.</x:v>
      </x:c>
      <x:c r="K131" s="89" t="str">
        <x:f>IF(AND(AND(COUNT(F$7:F$12)=6,F$7&gt;=0,F$8&gt;=0,F$9&gt;-1,F$10&gt;=0,F$11&gt;=0,OR(F$12=0,F$12=1)),COUNT(K130,J130)=2),K130+J130*F$10/12*(1-F$12),"n.a.")</x:f>
        <x:v>n.a.</x:v>
      </x:c>
      <x:c r="L131" s="89" t="str">
        <x:f>IF(AND(COUNT(F$7:F$12)=6,F$7&gt;=0,F$8&gt;=0,F$9&gt;-1,F$10&gt;=0,F$11&gt;=0,OR(F$12=0,F$12=1)),F$7+98*F$8,"n.a.")</x:f>
        <x:v>n.a.</x:v>
      </x:c>
    </x:row>
    <x:row r="132">
      <x:c r="C132" t="n">
        <x:v>99</x:v>
      </x:c>
      <x:c r="D132" s="89" t="str">
        <x:f>IF(AND(AND(COUNT(D$7:D$12)=6,D$7&gt;=0,D$8&gt;=0,D$9&gt;-1,D$10&gt;=0,D$11&gt;=0,OR(D$12=0,D$12=1)),ISNUMBER(D131)),D131*((1+D$9)^(1/12)+D$10/12*D$12-D$11/12)+D$8,"n.a.")</x:f>
        <x:v>n.a.</x:v>
      </x:c>
      <x:c r="E132" s="89" t="str">
        <x:f>IF(AND(AND(COUNT(D$7:D$12)=6,D$7&gt;=0,D$8&gt;=0,D$9&gt;-1,D$10&gt;=0,D$11&gt;=0,OR(D$12=0,D$12=1)),COUNT(E131,D131)=2),E131+D131*D$10/12*(1-D$12),"n.a.")</x:f>
        <x:v>n.a.</x:v>
      </x:c>
      <x:c r="F132" s="89" t="str">
        <x:f>IF(AND(COUNT(D$7:D$12)=6,D$7&gt;=0,D$8&gt;=0,D$9&gt;-1,D$10&gt;=0,D$11&gt;=0,OR(D$12=0,D$12=1)),D$7+99*D$8,"n.a.")</x:f>
        <x:v>n.a.</x:v>
      </x:c>
      <x:c r="G132" s="89" t="str">
        <x:f>IF(AND(AND(COUNT(E$7:E$12)=6,E$7&gt;=0,E$8&gt;=0,E$9&gt;-1,E$10&gt;=0,E$11&gt;=0,OR(E$12=0,E$12=1)),ISNUMBER(G131)),G131*((1+E$9)^(1/12)+E$10/12*E$12-E$11/12)+E$8,"n.a.")</x:f>
        <x:v>n.a.</x:v>
      </x:c>
      <x:c r="H132" s="89" t="str">
        <x:f>IF(AND(AND(COUNT(E$7:E$12)=6,E$7&gt;=0,E$8&gt;=0,E$9&gt;-1,E$10&gt;=0,E$11&gt;=0,OR(E$12=0,E$12=1)),COUNT(H131,G131)=2),H131+G131*E$10/12*(1-E$12),"n.a.")</x:f>
        <x:v>n.a.</x:v>
      </x:c>
      <x:c r="I132" s="89" t="str">
        <x:f>IF(AND(COUNT(E$7:E$12)=6,E$7&gt;=0,E$8&gt;=0,E$9&gt;-1,E$10&gt;=0,E$11&gt;=0,OR(E$12=0,E$12=1)),E$7+99*E$8,"n.a.")</x:f>
        <x:v>n.a.</x:v>
      </x:c>
      <x:c r="J132" s="89" t="str">
        <x:f>IF(AND(AND(COUNT(F$7:F$12)=6,F$7&gt;=0,F$8&gt;=0,F$9&gt;-1,F$10&gt;=0,F$11&gt;=0,OR(F$12=0,F$12=1)),ISNUMBER(J131)),J131*((1+F$9)^(1/12)+F$10/12*F$12-F$11/12)+F$8,"n.a.")</x:f>
        <x:v>n.a.</x:v>
      </x:c>
      <x:c r="K132" s="89" t="str">
        <x:f>IF(AND(AND(COUNT(F$7:F$12)=6,F$7&gt;=0,F$8&gt;=0,F$9&gt;-1,F$10&gt;=0,F$11&gt;=0,OR(F$12=0,F$12=1)),COUNT(K131,J131)=2),K131+J131*F$10/12*(1-F$12),"n.a.")</x:f>
        <x:v>n.a.</x:v>
      </x:c>
      <x:c r="L132" s="89" t="str">
        <x:f>IF(AND(COUNT(F$7:F$12)=6,F$7&gt;=0,F$8&gt;=0,F$9&gt;-1,F$10&gt;=0,F$11&gt;=0,OR(F$12=0,F$12=1)),F$7+99*F$8,"n.a.")</x:f>
        <x:v>n.a.</x:v>
      </x:c>
    </x:row>
    <x:row r="133">
      <x:c r="C133" t="n">
        <x:v>100</x:v>
      </x:c>
      <x:c r="D133" s="89" t="str">
        <x:f>IF(AND(AND(COUNT(D$7:D$12)=6,D$7&gt;=0,D$8&gt;=0,D$9&gt;-1,D$10&gt;=0,D$11&gt;=0,OR(D$12=0,D$12=1)),ISNUMBER(D132)),D132*((1+D$9)^(1/12)+D$10/12*D$12-D$11/12)+D$8,"n.a.")</x:f>
        <x:v>n.a.</x:v>
      </x:c>
      <x:c r="E133" s="89" t="str">
        <x:f>IF(AND(AND(COUNT(D$7:D$12)=6,D$7&gt;=0,D$8&gt;=0,D$9&gt;-1,D$10&gt;=0,D$11&gt;=0,OR(D$12=0,D$12=1)),COUNT(E132,D132)=2),E132+D132*D$10/12*(1-D$12),"n.a.")</x:f>
        <x:v>n.a.</x:v>
      </x:c>
      <x:c r="F133" s="89" t="str">
        <x:f>IF(AND(COUNT(D$7:D$12)=6,D$7&gt;=0,D$8&gt;=0,D$9&gt;-1,D$10&gt;=0,D$11&gt;=0,OR(D$12=0,D$12=1)),D$7+100*D$8,"n.a.")</x:f>
        <x:v>n.a.</x:v>
      </x:c>
      <x:c r="G133" s="89" t="str">
        <x:f>IF(AND(AND(COUNT(E$7:E$12)=6,E$7&gt;=0,E$8&gt;=0,E$9&gt;-1,E$10&gt;=0,E$11&gt;=0,OR(E$12=0,E$12=1)),ISNUMBER(G132)),G132*((1+E$9)^(1/12)+E$10/12*E$12-E$11/12)+E$8,"n.a.")</x:f>
        <x:v>n.a.</x:v>
      </x:c>
      <x:c r="H133" s="89" t="str">
        <x:f>IF(AND(AND(COUNT(E$7:E$12)=6,E$7&gt;=0,E$8&gt;=0,E$9&gt;-1,E$10&gt;=0,E$11&gt;=0,OR(E$12=0,E$12=1)),COUNT(H132,G132)=2),H132+G132*E$10/12*(1-E$12),"n.a.")</x:f>
        <x:v>n.a.</x:v>
      </x:c>
      <x:c r="I133" s="89" t="str">
        <x:f>IF(AND(COUNT(E$7:E$12)=6,E$7&gt;=0,E$8&gt;=0,E$9&gt;-1,E$10&gt;=0,E$11&gt;=0,OR(E$12=0,E$12=1)),E$7+100*E$8,"n.a.")</x:f>
        <x:v>n.a.</x:v>
      </x:c>
      <x:c r="J133" s="89" t="str">
        <x:f>IF(AND(AND(COUNT(F$7:F$12)=6,F$7&gt;=0,F$8&gt;=0,F$9&gt;-1,F$10&gt;=0,F$11&gt;=0,OR(F$12=0,F$12=1)),ISNUMBER(J132)),J132*((1+F$9)^(1/12)+F$10/12*F$12-F$11/12)+F$8,"n.a.")</x:f>
        <x:v>n.a.</x:v>
      </x:c>
      <x:c r="K133" s="89" t="str">
        <x:f>IF(AND(AND(COUNT(F$7:F$12)=6,F$7&gt;=0,F$8&gt;=0,F$9&gt;-1,F$10&gt;=0,F$11&gt;=0,OR(F$12=0,F$12=1)),COUNT(K132,J132)=2),K132+J132*F$10/12*(1-F$12),"n.a.")</x:f>
        <x:v>n.a.</x:v>
      </x:c>
      <x:c r="L133" s="89" t="str">
        <x:f>IF(AND(COUNT(F$7:F$12)=6,F$7&gt;=0,F$8&gt;=0,F$9&gt;-1,F$10&gt;=0,F$11&gt;=0,OR(F$12=0,F$12=1)),F$7+100*F$8,"n.a.")</x:f>
        <x:v>n.a.</x:v>
      </x:c>
    </x:row>
    <x:row r="134">
      <x:c r="C134" t="n">
        <x:v>101</x:v>
      </x:c>
      <x:c r="D134" s="89" t="str">
        <x:f>IF(AND(AND(COUNT(D$7:D$12)=6,D$7&gt;=0,D$8&gt;=0,D$9&gt;-1,D$10&gt;=0,D$11&gt;=0,OR(D$12=0,D$12=1)),ISNUMBER(D133)),D133*((1+D$9)^(1/12)+D$10/12*D$12-D$11/12)+D$8,"n.a.")</x:f>
        <x:v>n.a.</x:v>
      </x:c>
      <x:c r="E134" s="89" t="str">
        <x:f>IF(AND(AND(COUNT(D$7:D$12)=6,D$7&gt;=0,D$8&gt;=0,D$9&gt;-1,D$10&gt;=0,D$11&gt;=0,OR(D$12=0,D$12=1)),COUNT(E133,D133)=2),E133+D133*D$10/12*(1-D$12),"n.a.")</x:f>
        <x:v>n.a.</x:v>
      </x:c>
      <x:c r="F134" s="89" t="str">
        <x:f>IF(AND(COUNT(D$7:D$12)=6,D$7&gt;=0,D$8&gt;=0,D$9&gt;-1,D$10&gt;=0,D$11&gt;=0,OR(D$12=0,D$12=1)),D$7+101*D$8,"n.a.")</x:f>
        <x:v>n.a.</x:v>
      </x:c>
      <x:c r="G134" s="89" t="str">
        <x:f>IF(AND(AND(COUNT(E$7:E$12)=6,E$7&gt;=0,E$8&gt;=0,E$9&gt;-1,E$10&gt;=0,E$11&gt;=0,OR(E$12=0,E$12=1)),ISNUMBER(G133)),G133*((1+E$9)^(1/12)+E$10/12*E$12-E$11/12)+E$8,"n.a.")</x:f>
        <x:v>n.a.</x:v>
      </x:c>
      <x:c r="H134" s="89" t="str">
        <x:f>IF(AND(AND(COUNT(E$7:E$12)=6,E$7&gt;=0,E$8&gt;=0,E$9&gt;-1,E$10&gt;=0,E$11&gt;=0,OR(E$12=0,E$12=1)),COUNT(H133,G133)=2),H133+G133*E$10/12*(1-E$12),"n.a.")</x:f>
        <x:v>n.a.</x:v>
      </x:c>
      <x:c r="I134" s="89" t="str">
        <x:f>IF(AND(COUNT(E$7:E$12)=6,E$7&gt;=0,E$8&gt;=0,E$9&gt;-1,E$10&gt;=0,E$11&gt;=0,OR(E$12=0,E$12=1)),E$7+101*E$8,"n.a.")</x:f>
        <x:v>n.a.</x:v>
      </x:c>
      <x:c r="J134" s="89" t="str">
        <x:f>IF(AND(AND(COUNT(F$7:F$12)=6,F$7&gt;=0,F$8&gt;=0,F$9&gt;-1,F$10&gt;=0,F$11&gt;=0,OR(F$12=0,F$12=1)),ISNUMBER(J133)),J133*((1+F$9)^(1/12)+F$10/12*F$12-F$11/12)+F$8,"n.a.")</x:f>
        <x:v>n.a.</x:v>
      </x:c>
      <x:c r="K134" s="89" t="str">
        <x:f>IF(AND(AND(COUNT(F$7:F$12)=6,F$7&gt;=0,F$8&gt;=0,F$9&gt;-1,F$10&gt;=0,F$11&gt;=0,OR(F$12=0,F$12=1)),COUNT(K133,J133)=2),K133+J133*F$10/12*(1-F$12),"n.a.")</x:f>
        <x:v>n.a.</x:v>
      </x:c>
      <x:c r="L134" s="89" t="str">
        <x:f>IF(AND(COUNT(F$7:F$12)=6,F$7&gt;=0,F$8&gt;=0,F$9&gt;-1,F$10&gt;=0,F$11&gt;=0,OR(F$12=0,F$12=1)),F$7+101*F$8,"n.a.")</x:f>
        <x:v>n.a.</x:v>
      </x:c>
    </x:row>
    <x:row r="135">
      <x:c r="C135" t="n">
        <x:v>102</x:v>
      </x:c>
      <x:c r="D135" s="89" t="str">
        <x:f>IF(AND(AND(COUNT(D$7:D$12)=6,D$7&gt;=0,D$8&gt;=0,D$9&gt;-1,D$10&gt;=0,D$11&gt;=0,OR(D$12=0,D$12=1)),ISNUMBER(D134)),D134*((1+D$9)^(1/12)+D$10/12*D$12-D$11/12)+D$8,"n.a.")</x:f>
        <x:v>n.a.</x:v>
      </x:c>
      <x:c r="E135" s="89" t="str">
        <x:f>IF(AND(AND(COUNT(D$7:D$12)=6,D$7&gt;=0,D$8&gt;=0,D$9&gt;-1,D$10&gt;=0,D$11&gt;=0,OR(D$12=0,D$12=1)),COUNT(E134,D134)=2),E134+D134*D$10/12*(1-D$12),"n.a.")</x:f>
        <x:v>n.a.</x:v>
      </x:c>
      <x:c r="F135" s="89" t="str">
        <x:f>IF(AND(COUNT(D$7:D$12)=6,D$7&gt;=0,D$8&gt;=0,D$9&gt;-1,D$10&gt;=0,D$11&gt;=0,OR(D$12=0,D$12=1)),D$7+102*D$8,"n.a.")</x:f>
        <x:v>n.a.</x:v>
      </x:c>
      <x:c r="G135" s="89" t="str">
        <x:f>IF(AND(AND(COUNT(E$7:E$12)=6,E$7&gt;=0,E$8&gt;=0,E$9&gt;-1,E$10&gt;=0,E$11&gt;=0,OR(E$12=0,E$12=1)),ISNUMBER(G134)),G134*((1+E$9)^(1/12)+E$10/12*E$12-E$11/12)+E$8,"n.a.")</x:f>
        <x:v>n.a.</x:v>
      </x:c>
      <x:c r="H135" s="89" t="str">
        <x:f>IF(AND(AND(COUNT(E$7:E$12)=6,E$7&gt;=0,E$8&gt;=0,E$9&gt;-1,E$10&gt;=0,E$11&gt;=0,OR(E$12=0,E$12=1)),COUNT(H134,G134)=2),H134+G134*E$10/12*(1-E$12),"n.a.")</x:f>
        <x:v>n.a.</x:v>
      </x:c>
      <x:c r="I135" s="89" t="str">
        <x:f>IF(AND(COUNT(E$7:E$12)=6,E$7&gt;=0,E$8&gt;=0,E$9&gt;-1,E$10&gt;=0,E$11&gt;=0,OR(E$12=0,E$12=1)),E$7+102*E$8,"n.a.")</x:f>
        <x:v>n.a.</x:v>
      </x:c>
      <x:c r="J135" s="89" t="str">
        <x:f>IF(AND(AND(COUNT(F$7:F$12)=6,F$7&gt;=0,F$8&gt;=0,F$9&gt;-1,F$10&gt;=0,F$11&gt;=0,OR(F$12=0,F$12=1)),ISNUMBER(J134)),J134*((1+F$9)^(1/12)+F$10/12*F$12-F$11/12)+F$8,"n.a.")</x:f>
        <x:v>n.a.</x:v>
      </x:c>
      <x:c r="K135" s="89" t="str">
        <x:f>IF(AND(AND(COUNT(F$7:F$12)=6,F$7&gt;=0,F$8&gt;=0,F$9&gt;-1,F$10&gt;=0,F$11&gt;=0,OR(F$12=0,F$12=1)),COUNT(K134,J134)=2),K134+J134*F$10/12*(1-F$12),"n.a.")</x:f>
        <x:v>n.a.</x:v>
      </x:c>
      <x:c r="L135" s="89" t="str">
        <x:f>IF(AND(COUNT(F$7:F$12)=6,F$7&gt;=0,F$8&gt;=0,F$9&gt;-1,F$10&gt;=0,F$11&gt;=0,OR(F$12=0,F$12=1)),F$7+102*F$8,"n.a.")</x:f>
        <x:v>n.a.</x:v>
      </x:c>
    </x:row>
    <x:row r="136">
      <x:c r="C136" t="n">
        <x:v>103</x:v>
      </x:c>
      <x:c r="D136" s="89" t="str">
        <x:f>IF(AND(AND(COUNT(D$7:D$12)=6,D$7&gt;=0,D$8&gt;=0,D$9&gt;-1,D$10&gt;=0,D$11&gt;=0,OR(D$12=0,D$12=1)),ISNUMBER(D135)),D135*((1+D$9)^(1/12)+D$10/12*D$12-D$11/12)+D$8,"n.a.")</x:f>
        <x:v>n.a.</x:v>
      </x:c>
      <x:c r="E136" s="89" t="str">
        <x:f>IF(AND(AND(COUNT(D$7:D$12)=6,D$7&gt;=0,D$8&gt;=0,D$9&gt;-1,D$10&gt;=0,D$11&gt;=0,OR(D$12=0,D$12=1)),COUNT(E135,D135)=2),E135+D135*D$10/12*(1-D$12),"n.a.")</x:f>
        <x:v>n.a.</x:v>
      </x:c>
      <x:c r="F136" s="89" t="str">
        <x:f>IF(AND(COUNT(D$7:D$12)=6,D$7&gt;=0,D$8&gt;=0,D$9&gt;-1,D$10&gt;=0,D$11&gt;=0,OR(D$12=0,D$12=1)),D$7+103*D$8,"n.a.")</x:f>
        <x:v>n.a.</x:v>
      </x:c>
      <x:c r="G136" s="89" t="str">
        <x:f>IF(AND(AND(COUNT(E$7:E$12)=6,E$7&gt;=0,E$8&gt;=0,E$9&gt;-1,E$10&gt;=0,E$11&gt;=0,OR(E$12=0,E$12=1)),ISNUMBER(G135)),G135*((1+E$9)^(1/12)+E$10/12*E$12-E$11/12)+E$8,"n.a.")</x:f>
        <x:v>n.a.</x:v>
      </x:c>
      <x:c r="H136" s="89" t="str">
        <x:f>IF(AND(AND(COUNT(E$7:E$12)=6,E$7&gt;=0,E$8&gt;=0,E$9&gt;-1,E$10&gt;=0,E$11&gt;=0,OR(E$12=0,E$12=1)),COUNT(H135,G135)=2),H135+G135*E$10/12*(1-E$12),"n.a.")</x:f>
        <x:v>n.a.</x:v>
      </x:c>
      <x:c r="I136" s="89" t="str">
        <x:f>IF(AND(COUNT(E$7:E$12)=6,E$7&gt;=0,E$8&gt;=0,E$9&gt;-1,E$10&gt;=0,E$11&gt;=0,OR(E$12=0,E$12=1)),E$7+103*E$8,"n.a.")</x:f>
        <x:v>n.a.</x:v>
      </x:c>
      <x:c r="J136" s="89" t="str">
        <x:f>IF(AND(AND(COUNT(F$7:F$12)=6,F$7&gt;=0,F$8&gt;=0,F$9&gt;-1,F$10&gt;=0,F$11&gt;=0,OR(F$12=0,F$12=1)),ISNUMBER(J135)),J135*((1+F$9)^(1/12)+F$10/12*F$12-F$11/12)+F$8,"n.a.")</x:f>
        <x:v>n.a.</x:v>
      </x:c>
      <x:c r="K136" s="89" t="str">
        <x:f>IF(AND(AND(COUNT(F$7:F$12)=6,F$7&gt;=0,F$8&gt;=0,F$9&gt;-1,F$10&gt;=0,F$11&gt;=0,OR(F$12=0,F$12=1)),COUNT(K135,J135)=2),K135+J135*F$10/12*(1-F$12),"n.a.")</x:f>
        <x:v>n.a.</x:v>
      </x:c>
      <x:c r="L136" s="89" t="str">
        <x:f>IF(AND(COUNT(F$7:F$12)=6,F$7&gt;=0,F$8&gt;=0,F$9&gt;-1,F$10&gt;=0,F$11&gt;=0,OR(F$12=0,F$12=1)),F$7+103*F$8,"n.a.")</x:f>
        <x:v>n.a.</x:v>
      </x:c>
    </x:row>
    <x:row r="137">
      <x:c r="C137" t="n">
        <x:v>104</x:v>
      </x:c>
      <x:c r="D137" s="89" t="str">
        <x:f>IF(AND(AND(COUNT(D$7:D$12)=6,D$7&gt;=0,D$8&gt;=0,D$9&gt;-1,D$10&gt;=0,D$11&gt;=0,OR(D$12=0,D$12=1)),ISNUMBER(D136)),D136*((1+D$9)^(1/12)+D$10/12*D$12-D$11/12)+D$8,"n.a.")</x:f>
        <x:v>n.a.</x:v>
      </x:c>
      <x:c r="E137" s="89" t="str">
        <x:f>IF(AND(AND(COUNT(D$7:D$12)=6,D$7&gt;=0,D$8&gt;=0,D$9&gt;-1,D$10&gt;=0,D$11&gt;=0,OR(D$12=0,D$12=1)),COUNT(E136,D136)=2),E136+D136*D$10/12*(1-D$12),"n.a.")</x:f>
        <x:v>n.a.</x:v>
      </x:c>
      <x:c r="F137" s="89" t="str">
        <x:f>IF(AND(COUNT(D$7:D$12)=6,D$7&gt;=0,D$8&gt;=0,D$9&gt;-1,D$10&gt;=0,D$11&gt;=0,OR(D$12=0,D$12=1)),D$7+104*D$8,"n.a.")</x:f>
        <x:v>n.a.</x:v>
      </x:c>
      <x:c r="G137" s="89" t="str">
        <x:f>IF(AND(AND(COUNT(E$7:E$12)=6,E$7&gt;=0,E$8&gt;=0,E$9&gt;-1,E$10&gt;=0,E$11&gt;=0,OR(E$12=0,E$12=1)),ISNUMBER(G136)),G136*((1+E$9)^(1/12)+E$10/12*E$12-E$11/12)+E$8,"n.a.")</x:f>
        <x:v>n.a.</x:v>
      </x:c>
      <x:c r="H137" s="89" t="str">
        <x:f>IF(AND(AND(COUNT(E$7:E$12)=6,E$7&gt;=0,E$8&gt;=0,E$9&gt;-1,E$10&gt;=0,E$11&gt;=0,OR(E$12=0,E$12=1)),COUNT(H136,G136)=2),H136+G136*E$10/12*(1-E$12),"n.a.")</x:f>
        <x:v>n.a.</x:v>
      </x:c>
      <x:c r="I137" s="89" t="str">
        <x:f>IF(AND(COUNT(E$7:E$12)=6,E$7&gt;=0,E$8&gt;=0,E$9&gt;-1,E$10&gt;=0,E$11&gt;=0,OR(E$12=0,E$12=1)),E$7+104*E$8,"n.a.")</x:f>
        <x:v>n.a.</x:v>
      </x:c>
      <x:c r="J137" s="89" t="str">
        <x:f>IF(AND(AND(COUNT(F$7:F$12)=6,F$7&gt;=0,F$8&gt;=0,F$9&gt;-1,F$10&gt;=0,F$11&gt;=0,OR(F$12=0,F$12=1)),ISNUMBER(J136)),J136*((1+F$9)^(1/12)+F$10/12*F$12-F$11/12)+F$8,"n.a.")</x:f>
        <x:v>n.a.</x:v>
      </x:c>
      <x:c r="K137" s="89" t="str">
        <x:f>IF(AND(AND(COUNT(F$7:F$12)=6,F$7&gt;=0,F$8&gt;=0,F$9&gt;-1,F$10&gt;=0,F$11&gt;=0,OR(F$12=0,F$12=1)),COUNT(K136,J136)=2),K136+J136*F$10/12*(1-F$12),"n.a.")</x:f>
        <x:v>n.a.</x:v>
      </x:c>
      <x:c r="L137" s="89" t="str">
        <x:f>IF(AND(COUNT(F$7:F$12)=6,F$7&gt;=0,F$8&gt;=0,F$9&gt;-1,F$10&gt;=0,F$11&gt;=0,OR(F$12=0,F$12=1)),F$7+104*F$8,"n.a.")</x:f>
        <x:v>n.a.</x:v>
      </x:c>
    </x:row>
    <x:row r="138">
      <x:c r="C138" t="n">
        <x:v>105</x:v>
      </x:c>
      <x:c r="D138" s="89" t="str">
        <x:f>IF(AND(AND(COUNT(D$7:D$12)=6,D$7&gt;=0,D$8&gt;=0,D$9&gt;-1,D$10&gt;=0,D$11&gt;=0,OR(D$12=0,D$12=1)),ISNUMBER(D137)),D137*((1+D$9)^(1/12)+D$10/12*D$12-D$11/12)+D$8,"n.a.")</x:f>
        <x:v>n.a.</x:v>
      </x:c>
      <x:c r="E138" s="89" t="str">
        <x:f>IF(AND(AND(COUNT(D$7:D$12)=6,D$7&gt;=0,D$8&gt;=0,D$9&gt;-1,D$10&gt;=0,D$11&gt;=0,OR(D$12=0,D$12=1)),COUNT(E137,D137)=2),E137+D137*D$10/12*(1-D$12),"n.a.")</x:f>
        <x:v>n.a.</x:v>
      </x:c>
      <x:c r="F138" s="89" t="str">
        <x:f>IF(AND(COUNT(D$7:D$12)=6,D$7&gt;=0,D$8&gt;=0,D$9&gt;-1,D$10&gt;=0,D$11&gt;=0,OR(D$12=0,D$12=1)),D$7+105*D$8,"n.a.")</x:f>
        <x:v>n.a.</x:v>
      </x:c>
      <x:c r="G138" s="89" t="str">
        <x:f>IF(AND(AND(COUNT(E$7:E$12)=6,E$7&gt;=0,E$8&gt;=0,E$9&gt;-1,E$10&gt;=0,E$11&gt;=0,OR(E$12=0,E$12=1)),ISNUMBER(G137)),G137*((1+E$9)^(1/12)+E$10/12*E$12-E$11/12)+E$8,"n.a.")</x:f>
        <x:v>n.a.</x:v>
      </x:c>
      <x:c r="H138" s="89" t="str">
        <x:f>IF(AND(AND(COUNT(E$7:E$12)=6,E$7&gt;=0,E$8&gt;=0,E$9&gt;-1,E$10&gt;=0,E$11&gt;=0,OR(E$12=0,E$12=1)),COUNT(H137,G137)=2),H137+G137*E$10/12*(1-E$12),"n.a.")</x:f>
        <x:v>n.a.</x:v>
      </x:c>
      <x:c r="I138" s="89" t="str">
        <x:f>IF(AND(COUNT(E$7:E$12)=6,E$7&gt;=0,E$8&gt;=0,E$9&gt;-1,E$10&gt;=0,E$11&gt;=0,OR(E$12=0,E$12=1)),E$7+105*E$8,"n.a.")</x:f>
        <x:v>n.a.</x:v>
      </x:c>
      <x:c r="J138" s="89" t="str">
        <x:f>IF(AND(AND(COUNT(F$7:F$12)=6,F$7&gt;=0,F$8&gt;=0,F$9&gt;-1,F$10&gt;=0,F$11&gt;=0,OR(F$12=0,F$12=1)),ISNUMBER(J137)),J137*((1+F$9)^(1/12)+F$10/12*F$12-F$11/12)+F$8,"n.a.")</x:f>
        <x:v>n.a.</x:v>
      </x:c>
      <x:c r="K138" s="89" t="str">
        <x:f>IF(AND(AND(COUNT(F$7:F$12)=6,F$7&gt;=0,F$8&gt;=0,F$9&gt;-1,F$10&gt;=0,F$11&gt;=0,OR(F$12=0,F$12=1)),COUNT(K137,J137)=2),K137+J137*F$10/12*(1-F$12),"n.a.")</x:f>
        <x:v>n.a.</x:v>
      </x:c>
      <x:c r="L138" s="89" t="str">
        <x:f>IF(AND(COUNT(F$7:F$12)=6,F$7&gt;=0,F$8&gt;=0,F$9&gt;-1,F$10&gt;=0,F$11&gt;=0,OR(F$12=0,F$12=1)),F$7+105*F$8,"n.a.")</x:f>
        <x:v>n.a.</x:v>
      </x:c>
    </x:row>
    <x:row r="139">
      <x:c r="C139" t="n">
        <x:v>106</x:v>
      </x:c>
      <x:c r="D139" s="89" t="str">
        <x:f>IF(AND(AND(COUNT(D$7:D$12)=6,D$7&gt;=0,D$8&gt;=0,D$9&gt;-1,D$10&gt;=0,D$11&gt;=0,OR(D$12=0,D$12=1)),ISNUMBER(D138)),D138*((1+D$9)^(1/12)+D$10/12*D$12-D$11/12)+D$8,"n.a.")</x:f>
        <x:v>n.a.</x:v>
      </x:c>
      <x:c r="E139" s="89" t="str">
        <x:f>IF(AND(AND(COUNT(D$7:D$12)=6,D$7&gt;=0,D$8&gt;=0,D$9&gt;-1,D$10&gt;=0,D$11&gt;=0,OR(D$12=0,D$12=1)),COUNT(E138,D138)=2),E138+D138*D$10/12*(1-D$12),"n.a.")</x:f>
        <x:v>n.a.</x:v>
      </x:c>
      <x:c r="F139" s="89" t="str">
        <x:f>IF(AND(COUNT(D$7:D$12)=6,D$7&gt;=0,D$8&gt;=0,D$9&gt;-1,D$10&gt;=0,D$11&gt;=0,OR(D$12=0,D$12=1)),D$7+106*D$8,"n.a.")</x:f>
        <x:v>n.a.</x:v>
      </x:c>
      <x:c r="G139" s="89" t="str">
        <x:f>IF(AND(AND(COUNT(E$7:E$12)=6,E$7&gt;=0,E$8&gt;=0,E$9&gt;-1,E$10&gt;=0,E$11&gt;=0,OR(E$12=0,E$12=1)),ISNUMBER(G138)),G138*((1+E$9)^(1/12)+E$10/12*E$12-E$11/12)+E$8,"n.a.")</x:f>
        <x:v>n.a.</x:v>
      </x:c>
      <x:c r="H139" s="89" t="str">
        <x:f>IF(AND(AND(COUNT(E$7:E$12)=6,E$7&gt;=0,E$8&gt;=0,E$9&gt;-1,E$10&gt;=0,E$11&gt;=0,OR(E$12=0,E$12=1)),COUNT(H138,G138)=2),H138+G138*E$10/12*(1-E$12),"n.a.")</x:f>
        <x:v>n.a.</x:v>
      </x:c>
      <x:c r="I139" s="89" t="str">
        <x:f>IF(AND(COUNT(E$7:E$12)=6,E$7&gt;=0,E$8&gt;=0,E$9&gt;-1,E$10&gt;=0,E$11&gt;=0,OR(E$12=0,E$12=1)),E$7+106*E$8,"n.a.")</x:f>
        <x:v>n.a.</x:v>
      </x:c>
      <x:c r="J139" s="89" t="str">
        <x:f>IF(AND(AND(COUNT(F$7:F$12)=6,F$7&gt;=0,F$8&gt;=0,F$9&gt;-1,F$10&gt;=0,F$11&gt;=0,OR(F$12=0,F$12=1)),ISNUMBER(J138)),J138*((1+F$9)^(1/12)+F$10/12*F$12-F$11/12)+F$8,"n.a.")</x:f>
        <x:v>n.a.</x:v>
      </x:c>
      <x:c r="K139" s="89" t="str">
        <x:f>IF(AND(AND(COUNT(F$7:F$12)=6,F$7&gt;=0,F$8&gt;=0,F$9&gt;-1,F$10&gt;=0,F$11&gt;=0,OR(F$12=0,F$12=1)),COUNT(K138,J138)=2),K138+J138*F$10/12*(1-F$12),"n.a.")</x:f>
        <x:v>n.a.</x:v>
      </x:c>
      <x:c r="L139" s="89" t="str">
        <x:f>IF(AND(COUNT(F$7:F$12)=6,F$7&gt;=0,F$8&gt;=0,F$9&gt;-1,F$10&gt;=0,F$11&gt;=0,OR(F$12=0,F$12=1)),F$7+106*F$8,"n.a.")</x:f>
        <x:v>n.a.</x:v>
      </x:c>
    </x:row>
    <x:row r="140">
      <x:c r="C140" t="n">
        <x:v>107</x:v>
      </x:c>
      <x:c r="D140" s="89" t="str">
        <x:f>IF(AND(AND(COUNT(D$7:D$12)=6,D$7&gt;=0,D$8&gt;=0,D$9&gt;-1,D$10&gt;=0,D$11&gt;=0,OR(D$12=0,D$12=1)),ISNUMBER(D139)),D139*((1+D$9)^(1/12)+D$10/12*D$12-D$11/12)+D$8,"n.a.")</x:f>
        <x:v>n.a.</x:v>
      </x:c>
      <x:c r="E140" s="89" t="str">
        <x:f>IF(AND(AND(COUNT(D$7:D$12)=6,D$7&gt;=0,D$8&gt;=0,D$9&gt;-1,D$10&gt;=0,D$11&gt;=0,OR(D$12=0,D$12=1)),COUNT(E139,D139)=2),E139+D139*D$10/12*(1-D$12),"n.a.")</x:f>
        <x:v>n.a.</x:v>
      </x:c>
      <x:c r="F140" s="89" t="str">
        <x:f>IF(AND(COUNT(D$7:D$12)=6,D$7&gt;=0,D$8&gt;=0,D$9&gt;-1,D$10&gt;=0,D$11&gt;=0,OR(D$12=0,D$12=1)),D$7+107*D$8,"n.a.")</x:f>
        <x:v>n.a.</x:v>
      </x:c>
      <x:c r="G140" s="89" t="str">
        <x:f>IF(AND(AND(COUNT(E$7:E$12)=6,E$7&gt;=0,E$8&gt;=0,E$9&gt;-1,E$10&gt;=0,E$11&gt;=0,OR(E$12=0,E$12=1)),ISNUMBER(G139)),G139*((1+E$9)^(1/12)+E$10/12*E$12-E$11/12)+E$8,"n.a.")</x:f>
        <x:v>n.a.</x:v>
      </x:c>
      <x:c r="H140" s="89" t="str">
        <x:f>IF(AND(AND(COUNT(E$7:E$12)=6,E$7&gt;=0,E$8&gt;=0,E$9&gt;-1,E$10&gt;=0,E$11&gt;=0,OR(E$12=0,E$12=1)),COUNT(H139,G139)=2),H139+G139*E$10/12*(1-E$12),"n.a.")</x:f>
        <x:v>n.a.</x:v>
      </x:c>
      <x:c r="I140" s="89" t="str">
        <x:f>IF(AND(COUNT(E$7:E$12)=6,E$7&gt;=0,E$8&gt;=0,E$9&gt;-1,E$10&gt;=0,E$11&gt;=0,OR(E$12=0,E$12=1)),E$7+107*E$8,"n.a.")</x:f>
        <x:v>n.a.</x:v>
      </x:c>
      <x:c r="J140" s="89" t="str">
        <x:f>IF(AND(AND(COUNT(F$7:F$12)=6,F$7&gt;=0,F$8&gt;=0,F$9&gt;-1,F$10&gt;=0,F$11&gt;=0,OR(F$12=0,F$12=1)),ISNUMBER(J139)),J139*((1+F$9)^(1/12)+F$10/12*F$12-F$11/12)+F$8,"n.a.")</x:f>
        <x:v>n.a.</x:v>
      </x:c>
      <x:c r="K140" s="89" t="str">
        <x:f>IF(AND(AND(COUNT(F$7:F$12)=6,F$7&gt;=0,F$8&gt;=0,F$9&gt;-1,F$10&gt;=0,F$11&gt;=0,OR(F$12=0,F$12=1)),COUNT(K139,J139)=2),K139+J139*F$10/12*(1-F$12),"n.a.")</x:f>
        <x:v>n.a.</x:v>
      </x:c>
      <x:c r="L140" s="89" t="str">
        <x:f>IF(AND(COUNT(F$7:F$12)=6,F$7&gt;=0,F$8&gt;=0,F$9&gt;-1,F$10&gt;=0,F$11&gt;=0,OR(F$12=0,F$12=1)),F$7+107*F$8,"n.a.")</x:f>
        <x:v>n.a.</x:v>
      </x:c>
    </x:row>
    <x:row r="141">
      <x:c r="C141" t="n">
        <x:v>108</x:v>
      </x:c>
      <x:c r="D141" s="89" t="str">
        <x:f>IF(AND(AND(COUNT(D$7:D$12)=6,D$7&gt;=0,D$8&gt;=0,D$9&gt;-1,D$10&gt;=0,D$11&gt;=0,OR(D$12=0,D$12=1)),ISNUMBER(D140)),D140*((1+D$9)^(1/12)+D$10/12*D$12-D$11/12)+D$8,"n.a.")</x:f>
        <x:v>n.a.</x:v>
      </x:c>
      <x:c r="E141" s="89" t="str">
        <x:f>IF(AND(AND(COUNT(D$7:D$12)=6,D$7&gt;=0,D$8&gt;=0,D$9&gt;-1,D$10&gt;=0,D$11&gt;=0,OR(D$12=0,D$12=1)),COUNT(E140,D140)=2),E140+D140*D$10/12*(1-D$12),"n.a.")</x:f>
        <x:v>n.a.</x:v>
      </x:c>
      <x:c r="F141" s="89" t="str">
        <x:f>IF(AND(COUNT(D$7:D$12)=6,D$7&gt;=0,D$8&gt;=0,D$9&gt;-1,D$10&gt;=0,D$11&gt;=0,OR(D$12=0,D$12=1)),D$7+108*D$8,"n.a.")</x:f>
        <x:v>n.a.</x:v>
      </x:c>
      <x:c r="G141" s="89" t="str">
        <x:f>IF(AND(AND(COUNT(E$7:E$12)=6,E$7&gt;=0,E$8&gt;=0,E$9&gt;-1,E$10&gt;=0,E$11&gt;=0,OR(E$12=0,E$12=1)),ISNUMBER(G140)),G140*((1+E$9)^(1/12)+E$10/12*E$12-E$11/12)+E$8,"n.a.")</x:f>
        <x:v>n.a.</x:v>
      </x:c>
      <x:c r="H141" s="89" t="str">
        <x:f>IF(AND(AND(COUNT(E$7:E$12)=6,E$7&gt;=0,E$8&gt;=0,E$9&gt;-1,E$10&gt;=0,E$11&gt;=0,OR(E$12=0,E$12=1)),COUNT(H140,G140)=2),H140+G140*E$10/12*(1-E$12),"n.a.")</x:f>
        <x:v>n.a.</x:v>
      </x:c>
      <x:c r="I141" s="89" t="str">
        <x:f>IF(AND(COUNT(E$7:E$12)=6,E$7&gt;=0,E$8&gt;=0,E$9&gt;-1,E$10&gt;=0,E$11&gt;=0,OR(E$12=0,E$12=1)),E$7+108*E$8,"n.a.")</x:f>
        <x:v>n.a.</x:v>
      </x:c>
      <x:c r="J141" s="89" t="str">
        <x:f>IF(AND(AND(COUNT(F$7:F$12)=6,F$7&gt;=0,F$8&gt;=0,F$9&gt;-1,F$10&gt;=0,F$11&gt;=0,OR(F$12=0,F$12=1)),ISNUMBER(J140)),J140*((1+F$9)^(1/12)+F$10/12*F$12-F$11/12)+F$8,"n.a.")</x:f>
        <x:v>n.a.</x:v>
      </x:c>
      <x:c r="K141" s="89" t="str">
        <x:f>IF(AND(AND(COUNT(F$7:F$12)=6,F$7&gt;=0,F$8&gt;=0,F$9&gt;-1,F$10&gt;=0,F$11&gt;=0,OR(F$12=0,F$12=1)),COUNT(K140,J140)=2),K140+J140*F$10/12*(1-F$12),"n.a.")</x:f>
        <x:v>n.a.</x:v>
      </x:c>
      <x:c r="L141" s="89" t="str">
        <x:f>IF(AND(COUNT(F$7:F$12)=6,F$7&gt;=0,F$8&gt;=0,F$9&gt;-1,F$10&gt;=0,F$11&gt;=0,OR(F$12=0,F$12=1)),F$7+108*F$8,"n.a.")</x:f>
        <x:v>n.a.</x:v>
      </x:c>
    </x:row>
    <x:row r="142">
      <x:c r="C142" t="n">
        <x:v>109</x:v>
      </x:c>
      <x:c r="D142" s="89" t="str">
        <x:f>IF(AND(AND(COUNT(D$7:D$12)=6,D$7&gt;=0,D$8&gt;=0,D$9&gt;-1,D$10&gt;=0,D$11&gt;=0,OR(D$12=0,D$12=1)),ISNUMBER(D141)),D141*((1+D$9)^(1/12)+D$10/12*D$12-D$11/12)+D$8,"n.a.")</x:f>
        <x:v>n.a.</x:v>
      </x:c>
      <x:c r="E142" s="89" t="str">
        <x:f>IF(AND(AND(COUNT(D$7:D$12)=6,D$7&gt;=0,D$8&gt;=0,D$9&gt;-1,D$10&gt;=0,D$11&gt;=0,OR(D$12=0,D$12=1)),COUNT(E141,D141)=2),E141+D141*D$10/12*(1-D$12),"n.a.")</x:f>
        <x:v>n.a.</x:v>
      </x:c>
      <x:c r="F142" s="89" t="str">
        <x:f>IF(AND(COUNT(D$7:D$12)=6,D$7&gt;=0,D$8&gt;=0,D$9&gt;-1,D$10&gt;=0,D$11&gt;=0,OR(D$12=0,D$12=1)),D$7+109*D$8,"n.a.")</x:f>
        <x:v>n.a.</x:v>
      </x:c>
      <x:c r="G142" s="89" t="str">
        <x:f>IF(AND(AND(COUNT(E$7:E$12)=6,E$7&gt;=0,E$8&gt;=0,E$9&gt;-1,E$10&gt;=0,E$11&gt;=0,OR(E$12=0,E$12=1)),ISNUMBER(G141)),G141*((1+E$9)^(1/12)+E$10/12*E$12-E$11/12)+E$8,"n.a.")</x:f>
        <x:v>n.a.</x:v>
      </x:c>
      <x:c r="H142" s="89" t="str">
        <x:f>IF(AND(AND(COUNT(E$7:E$12)=6,E$7&gt;=0,E$8&gt;=0,E$9&gt;-1,E$10&gt;=0,E$11&gt;=0,OR(E$12=0,E$12=1)),COUNT(H141,G141)=2),H141+G141*E$10/12*(1-E$12),"n.a.")</x:f>
        <x:v>n.a.</x:v>
      </x:c>
      <x:c r="I142" s="89" t="str">
        <x:f>IF(AND(COUNT(E$7:E$12)=6,E$7&gt;=0,E$8&gt;=0,E$9&gt;-1,E$10&gt;=0,E$11&gt;=0,OR(E$12=0,E$12=1)),E$7+109*E$8,"n.a.")</x:f>
        <x:v>n.a.</x:v>
      </x:c>
      <x:c r="J142" s="89" t="str">
        <x:f>IF(AND(AND(COUNT(F$7:F$12)=6,F$7&gt;=0,F$8&gt;=0,F$9&gt;-1,F$10&gt;=0,F$11&gt;=0,OR(F$12=0,F$12=1)),ISNUMBER(J141)),J141*((1+F$9)^(1/12)+F$10/12*F$12-F$11/12)+F$8,"n.a.")</x:f>
        <x:v>n.a.</x:v>
      </x:c>
      <x:c r="K142" s="89" t="str">
        <x:f>IF(AND(AND(COUNT(F$7:F$12)=6,F$7&gt;=0,F$8&gt;=0,F$9&gt;-1,F$10&gt;=0,F$11&gt;=0,OR(F$12=0,F$12=1)),COUNT(K141,J141)=2),K141+J141*F$10/12*(1-F$12),"n.a.")</x:f>
        <x:v>n.a.</x:v>
      </x:c>
      <x:c r="L142" s="89" t="str">
        <x:f>IF(AND(COUNT(F$7:F$12)=6,F$7&gt;=0,F$8&gt;=0,F$9&gt;-1,F$10&gt;=0,F$11&gt;=0,OR(F$12=0,F$12=1)),F$7+109*F$8,"n.a.")</x:f>
        <x:v>n.a.</x:v>
      </x:c>
    </x:row>
    <x:row r="143">
      <x:c r="C143" t="n">
        <x:v>110</x:v>
      </x:c>
      <x:c r="D143" s="89" t="str">
        <x:f>IF(AND(AND(COUNT(D$7:D$12)=6,D$7&gt;=0,D$8&gt;=0,D$9&gt;-1,D$10&gt;=0,D$11&gt;=0,OR(D$12=0,D$12=1)),ISNUMBER(D142)),D142*((1+D$9)^(1/12)+D$10/12*D$12-D$11/12)+D$8,"n.a.")</x:f>
        <x:v>n.a.</x:v>
      </x:c>
      <x:c r="E143" s="89" t="str">
        <x:f>IF(AND(AND(COUNT(D$7:D$12)=6,D$7&gt;=0,D$8&gt;=0,D$9&gt;-1,D$10&gt;=0,D$11&gt;=0,OR(D$12=0,D$12=1)),COUNT(E142,D142)=2),E142+D142*D$10/12*(1-D$12),"n.a.")</x:f>
        <x:v>n.a.</x:v>
      </x:c>
      <x:c r="F143" s="89" t="str">
        <x:f>IF(AND(COUNT(D$7:D$12)=6,D$7&gt;=0,D$8&gt;=0,D$9&gt;-1,D$10&gt;=0,D$11&gt;=0,OR(D$12=0,D$12=1)),D$7+110*D$8,"n.a.")</x:f>
        <x:v>n.a.</x:v>
      </x:c>
      <x:c r="G143" s="89" t="str">
        <x:f>IF(AND(AND(COUNT(E$7:E$12)=6,E$7&gt;=0,E$8&gt;=0,E$9&gt;-1,E$10&gt;=0,E$11&gt;=0,OR(E$12=0,E$12=1)),ISNUMBER(G142)),G142*((1+E$9)^(1/12)+E$10/12*E$12-E$11/12)+E$8,"n.a.")</x:f>
        <x:v>n.a.</x:v>
      </x:c>
      <x:c r="H143" s="89" t="str">
        <x:f>IF(AND(AND(COUNT(E$7:E$12)=6,E$7&gt;=0,E$8&gt;=0,E$9&gt;-1,E$10&gt;=0,E$11&gt;=0,OR(E$12=0,E$12=1)),COUNT(H142,G142)=2),H142+G142*E$10/12*(1-E$12),"n.a.")</x:f>
        <x:v>n.a.</x:v>
      </x:c>
      <x:c r="I143" s="89" t="str">
        <x:f>IF(AND(COUNT(E$7:E$12)=6,E$7&gt;=0,E$8&gt;=0,E$9&gt;-1,E$10&gt;=0,E$11&gt;=0,OR(E$12=0,E$12=1)),E$7+110*E$8,"n.a.")</x:f>
        <x:v>n.a.</x:v>
      </x:c>
      <x:c r="J143" s="89" t="str">
        <x:f>IF(AND(AND(COUNT(F$7:F$12)=6,F$7&gt;=0,F$8&gt;=0,F$9&gt;-1,F$10&gt;=0,F$11&gt;=0,OR(F$12=0,F$12=1)),ISNUMBER(J142)),J142*((1+F$9)^(1/12)+F$10/12*F$12-F$11/12)+F$8,"n.a.")</x:f>
        <x:v>n.a.</x:v>
      </x:c>
      <x:c r="K143" s="89" t="str">
        <x:f>IF(AND(AND(COUNT(F$7:F$12)=6,F$7&gt;=0,F$8&gt;=0,F$9&gt;-1,F$10&gt;=0,F$11&gt;=0,OR(F$12=0,F$12=1)),COUNT(K142,J142)=2),K142+J142*F$10/12*(1-F$12),"n.a.")</x:f>
        <x:v>n.a.</x:v>
      </x:c>
      <x:c r="L143" s="89" t="str">
        <x:f>IF(AND(COUNT(F$7:F$12)=6,F$7&gt;=0,F$8&gt;=0,F$9&gt;-1,F$10&gt;=0,F$11&gt;=0,OR(F$12=0,F$12=1)),F$7+110*F$8,"n.a.")</x:f>
        <x:v>n.a.</x:v>
      </x:c>
    </x:row>
    <x:row r="144">
      <x:c r="C144" t="n">
        <x:v>111</x:v>
      </x:c>
      <x:c r="D144" s="89" t="str">
        <x:f>IF(AND(AND(COUNT(D$7:D$12)=6,D$7&gt;=0,D$8&gt;=0,D$9&gt;-1,D$10&gt;=0,D$11&gt;=0,OR(D$12=0,D$12=1)),ISNUMBER(D143)),D143*((1+D$9)^(1/12)+D$10/12*D$12-D$11/12)+D$8,"n.a.")</x:f>
        <x:v>n.a.</x:v>
      </x:c>
      <x:c r="E144" s="89" t="str">
        <x:f>IF(AND(AND(COUNT(D$7:D$12)=6,D$7&gt;=0,D$8&gt;=0,D$9&gt;-1,D$10&gt;=0,D$11&gt;=0,OR(D$12=0,D$12=1)),COUNT(E143,D143)=2),E143+D143*D$10/12*(1-D$12),"n.a.")</x:f>
        <x:v>n.a.</x:v>
      </x:c>
      <x:c r="F144" s="89" t="str">
        <x:f>IF(AND(COUNT(D$7:D$12)=6,D$7&gt;=0,D$8&gt;=0,D$9&gt;-1,D$10&gt;=0,D$11&gt;=0,OR(D$12=0,D$12=1)),D$7+111*D$8,"n.a.")</x:f>
        <x:v>n.a.</x:v>
      </x:c>
      <x:c r="G144" s="89" t="str">
        <x:f>IF(AND(AND(COUNT(E$7:E$12)=6,E$7&gt;=0,E$8&gt;=0,E$9&gt;-1,E$10&gt;=0,E$11&gt;=0,OR(E$12=0,E$12=1)),ISNUMBER(G143)),G143*((1+E$9)^(1/12)+E$10/12*E$12-E$11/12)+E$8,"n.a.")</x:f>
        <x:v>n.a.</x:v>
      </x:c>
      <x:c r="H144" s="89" t="str">
        <x:f>IF(AND(AND(COUNT(E$7:E$12)=6,E$7&gt;=0,E$8&gt;=0,E$9&gt;-1,E$10&gt;=0,E$11&gt;=0,OR(E$12=0,E$12=1)),COUNT(H143,G143)=2),H143+G143*E$10/12*(1-E$12),"n.a.")</x:f>
        <x:v>n.a.</x:v>
      </x:c>
      <x:c r="I144" s="89" t="str">
        <x:f>IF(AND(COUNT(E$7:E$12)=6,E$7&gt;=0,E$8&gt;=0,E$9&gt;-1,E$10&gt;=0,E$11&gt;=0,OR(E$12=0,E$12=1)),E$7+111*E$8,"n.a.")</x:f>
        <x:v>n.a.</x:v>
      </x:c>
      <x:c r="J144" s="89" t="str">
        <x:f>IF(AND(AND(COUNT(F$7:F$12)=6,F$7&gt;=0,F$8&gt;=0,F$9&gt;-1,F$10&gt;=0,F$11&gt;=0,OR(F$12=0,F$12=1)),ISNUMBER(J143)),J143*((1+F$9)^(1/12)+F$10/12*F$12-F$11/12)+F$8,"n.a.")</x:f>
        <x:v>n.a.</x:v>
      </x:c>
      <x:c r="K144" s="89" t="str">
        <x:f>IF(AND(AND(COUNT(F$7:F$12)=6,F$7&gt;=0,F$8&gt;=0,F$9&gt;-1,F$10&gt;=0,F$11&gt;=0,OR(F$12=0,F$12=1)),COUNT(K143,J143)=2),K143+J143*F$10/12*(1-F$12),"n.a.")</x:f>
        <x:v>n.a.</x:v>
      </x:c>
      <x:c r="L144" s="89" t="str">
        <x:f>IF(AND(COUNT(F$7:F$12)=6,F$7&gt;=0,F$8&gt;=0,F$9&gt;-1,F$10&gt;=0,F$11&gt;=0,OR(F$12=0,F$12=1)),F$7+111*F$8,"n.a.")</x:f>
        <x:v>n.a.</x:v>
      </x:c>
    </x:row>
    <x:row r="145">
      <x:c r="C145" t="n">
        <x:v>112</x:v>
      </x:c>
      <x:c r="D145" s="89" t="str">
        <x:f>IF(AND(AND(COUNT(D$7:D$12)=6,D$7&gt;=0,D$8&gt;=0,D$9&gt;-1,D$10&gt;=0,D$11&gt;=0,OR(D$12=0,D$12=1)),ISNUMBER(D144)),D144*((1+D$9)^(1/12)+D$10/12*D$12-D$11/12)+D$8,"n.a.")</x:f>
        <x:v>n.a.</x:v>
      </x:c>
      <x:c r="E145" s="89" t="str">
        <x:f>IF(AND(AND(COUNT(D$7:D$12)=6,D$7&gt;=0,D$8&gt;=0,D$9&gt;-1,D$10&gt;=0,D$11&gt;=0,OR(D$12=0,D$12=1)),COUNT(E144,D144)=2),E144+D144*D$10/12*(1-D$12),"n.a.")</x:f>
        <x:v>n.a.</x:v>
      </x:c>
      <x:c r="F145" s="89" t="str">
        <x:f>IF(AND(COUNT(D$7:D$12)=6,D$7&gt;=0,D$8&gt;=0,D$9&gt;-1,D$10&gt;=0,D$11&gt;=0,OR(D$12=0,D$12=1)),D$7+112*D$8,"n.a.")</x:f>
        <x:v>n.a.</x:v>
      </x:c>
      <x:c r="G145" s="89" t="str">
        <x:f>IF(AND(AND(COUNT(E$7:E$12)=6,E$7&gt;=0,E$8&gt;=0,E$9&gt;-1,E$10&gt;=0,E$11&gt;=0,OR(E$12=0,E$12=1)),ISNUMBER(G144)),G144*((1+E$9)^(1/12)+E$10/12*E$12-E$11/12)+E$8,"n.a.")</x:f>
        <x:v>n.a.</x:v>
      </x:c>
      <x:c r="H145" s="89" t="str">
        <x:f>IF(AND(AND(COUNT(E$7:E$12)=6,E$7&gt;=0,E$8&gt;=0,E$9&gt;-1,E$10&gt;=0,E$11&gt;=0,OR(E$12=0,E$12=1)),COUNT(H144,G144)=2),H144+G144*E$10/12*(1-E$12),"n.a.")</x:f>
        <x:v>n.a.</x:v>
      </x:c>
      <x:c r="I145" s="89" t="str">
        <x:f>IF(AND(COUNT(E$7:E$12)=6,E$7&gt;=0,E$8&gt;=0,E$9&gt;-1,E$10&gt;=0,E$11&gt;=0,OR(E$12=0,E$12=1)),E$7+112*E$8,"n.a.")</x:f>
        <x:v>n.a.</x:v>
      </x:c>
      <x:c r="J145" s="89" t="str">
        <x:f>IF(AND(AND(COUNT(F$7:F$12)=6,F$7&gt;=0,F$8&gt;=0,F$9&gt;-1,F$10&gt;=0,F$11&gt;=0,OR(F$12=0,F$12=1)),ISNUMBER(J144)),J144*((1+F$9)^(1/12)+F$10/12*F$12-F$11/12)+F$8,"n.a.")</x:f>
        <x:v>n.a.</x:v>
      </x:c>
      <x:c r="K145" s="89" t="str">
        <x:f>IF(AND(AND(COUNT(F$7:F$12)=6,F$7&gt;=0,F$8&gt;=0,F$9&gt;-1,F$10&gt;=0,F$11&gt;=0,OR(F$12=0,F$12=1)),COUNT(K144,J144)=2),K144+J144*F$10/12*(1-F$12),"n.a.")</x:f>
        <x:v>n.a.</x:v>
      </x:c>
      <x:c r="L145" s="89" t="str">
        <x:f>IF(AND(COUNT(F$7:F$12)=6,F$7&gt;=0,F$8&gt;=0,F$9&gt;-1,F$10&gt;=0,F$11&gt;=0,OR(F$12=0,F$12=1)),F$7+112*F$8,"n.a.")</x:f>
        <x:v>n.a.</x:v>
      </x:c>
    </x:row>
    <x:row r="146">
      <x:c r="C146" t="n">
        <x:v>113</x:v>
      </x:c>
      <x:c r="D146" s="89" t="str">
        <x:f>IF(AND(AND(COUNT(D$7:D$12)=6,D$7&gt;=0,D$8&gt;=0,D$9&gt;-1,D$10&gt;=0,D$11&gt;=0,OR(D$12=0,D$12=1)),ISNUMBER(D145)),D145*((1+D$9)^(1/12)+D$10/12*D$12-D$11/12)+D$8,"n.a.")</x:f>
        <x:v>n.a.</x:v>
      </x:c>
      <x:c r="E146" s="89" t="str">
        <x:f>IF(AND(AND(COUNT(D$7:D$12)=6,D$7&gt;=0,D$8&gt;=0,D$9&gt;-1,D$10&gt;=0,D$11&gt;=0,OR(D$12=0,D$12=1)),COUNT(E145,D145)=2),E145+D145*D$10/12*(1-D$12),"n.a.")</x:f>
        <x:v>n.a.</x:v>
      </x:c>
      <x:c r="F146" s="89" t="str">
        <x:f>IF(AND(COUNT(D$7:D$12)=6,D$7&gt;=0,D$8&gt;=0,D$9&gt;-1,D$10&gt;=0,D$11&gt;=0,OR(D$12=0,D$12=1)),D$7+113*D$8,"n.a.")</x:f>
        <x:v>n.a.</x:v>
      </x:c>
      <x:c r="G146" s="89" t="str">
        <x:f>IF(AND(AND(COUNT(E$7:E$12)=6,E$7&gt;=0,E$8&gt;=0,E$9&gt;-1,E$10&gt;=0,E$11&gt;=0,OR(E$12=0,E$12=1)),ISNUMBER(G145)),G145*((1+E$9)^(1/12)+E$10/12*E$12-E$11/12)+E$8,"n.a.")</x:f>
        <x:v>n.a.</x:v>
      </x:c>
      <x:c r="H146" s="89" t="str">
        <x:f>IF(AND(AND(COUNT(E$7:E$12)=6,E$7&gt;=0,E$8&gt;=0,E$9&gt;-1,E$10&gt;=0,E$11&gt;=0,OR(E$12=0,E$12=1)),COUNT(H145,G145)=2),H145+G145*E$10/12*(1-E$12),"n.a.")</x:f>
        <x:v>n.a.</x:v>
      </x:c>
      <x:c r="I146" s="89" t="str">
        <x:f>IF(AND(COUNT(E$7:E$12)=6,E$7&gt;=0,E$8&gt;=0,E$9&gt;-1,E$10&gt;=0,E$11&gt;=0,OR(E$12=0,E$12=1)),E$7+113*E$8,"n.a.")</x:f>
        <x:v>n.a.</x:v>
      </x:c>
      <x:c r="J146" s="89" t="str">
        <x:f>IF(AND(AND(COUNT(F$7:F$12)=6,F$7&gt;=0,F$8&gt;=0,F$9&gt;-1,F$10&gt;=0,F$11&gt;=0,OR(F$12=0,F$12=1)),ISNUMBER(J145)),J145*((1+F$9)^(1/12)+F$10/12*F$12-F$11/12)+F$8,"n.a.")</x:f>
        <x:v>n.a.</x:v>
      </x:c>
      <x:c r="K146" s="89" t="str">
        <x:f>IF(AND(AND(COUNT(F$7:F$12)=6,F$7&gt;=0,F$8&gt;=0,F$9&gt;-1,F$10&gt;=0,F$11&gt;=0,OR(F$12=0,F$12=1)),COUNT(K145,J145)=2),K145+J145*F$10/12*(1-F$12),"n.a.")</x:f>
        <x:v>n.a.</x:v>
      </x:c>
      <x:c r="L146" s="89" t="str">
        <x:f>IF(AND(COUNT(F$7:F$12)=6,F$7&gt;=0,F$8&gt;=0,F$9&gt;-1,F$10&gt;=0,F$11&gt;=0,OR(F$12=0,F$12=1)),F$7+113*F$8,"n.a.")</x:f>
        <x:v>n.a.</x:v>
      </x:c>
    </x:row>
    <x:row r="147">
      <x:c r="C147" t="n">
        <x:v>114</x:v>
      </x:c>
      <x:c r="D147" s="89" t="str">
        <x:f>IF(AND(AND(COUNT(D$7:D$12)=6,D$7&gt;=0,D$8&gt;=0,D$9&gt;-1,D$10&gt;=0,D$11&gt;=0,OR(D$12=0,D$12=1)),ISNUMBER(D146)),D146*((1+D$9)^(1/12)+D$10/12*D$12-D$11/12)+D$8,"n.a.")</x:f>
        <x:v>n.a.</x:v>
      </x:c>
      <x:c r="E147" s="89" t="str">
        <x:f>IF(AND(AND(COUNT(D$7:D$12)=6,D$7&gt;=0,D$8&gt;=0,D$9&gt;-1,D$10&gt;=0,D$11&gt;=0,OR(D$12=0,D$12=1)),COUNT(E146,D146)=2),E146+D146*D$10/12*(1-D$12),"n.a.")</x:f>
        <x:v>n.a.</x:v>
      </x:c>
      <x:c r="F147" s="89" t="str">
        <x:f>IF(AND(COUNT(D$7:D$12)=6,D$7&gt;=0,D$8&gt;=0,D$9&gt;-1,D$10&gt;=0,D$11&gt;=0,OR(D$12=0,D$12=1)),D$7+114*D$8,"n.a.")</x:f>
        <x:v>n.a.</x:v>
      </x:c>
      <x:c r="G147" s="89" t="str">
        <x:f>IF(AND(AND(COUNT(E$7:E$12)=6,E$7&gt;=0,E$8&gt;=0,E$9&gt;-1,E$10&gt;=0,E$11&gt;=0,OR(E$12=0,E$12=1)),ISNUMBER(G146)),G146*((1+E$9)^(1/12)+E$10/12*E$12-E$11/12)+E$8,"n.a.")</x:f>
        <x:v>n.a.</x:v>
      </x:c>
      <x:c r="H147" s="89" t="str">
        <x:f>IF(AND(AND(COUNT(E$7:E$12)=6,E$7&gt;=0,E$8&gt;=0,E$9&gt;-1,E$10&gt;=0,E$11&gt;=0,OR(E$12=0,E$12=1)),COUNT(H146,G146)=2),H146+G146*E$10/12*(1-E$12),"n.a.")</x:f>
        <x:v>n.a.</x:v>
      </x:c>
      <x:c r="I147" s="89" t="str">
        <x:f>IF(AND(COUNT(E$7:E$12)=6,E$7&gt;=0,E$8&gt;=0,E$9&gt;-1,E$10&gt;=0,E$11&gt;=0,OR(E$12=0,E$12=1)),E$7+114*E$8,"n.a.")</x:f>
        <x:v>n.a.</x:v>
      </x:c>
      <x:c r="J147" s="89" t="str">
        <x:f>IF(AND(AND(COUNT(F$7:F$12)=6,F$7&gt;=0,F$8&gt;=0,F$9&gt;-1,F$10&gt;=0,F$11&gt;=0,OR(F$12=0,F$12=1)),ISNUMBER(J146)),J146*((1+F$9)^(1/12)+F$10/12*F$12-F$11/12)+F$8,"n.a.")</x:f>
        <x:v>n.a.</x:v>
      </x:c>
      <x:c r="K147" s="89" t="str">
        <x:f>IF(AND(AND(COUNT(F$7:F$12)=6,F$7&gt;=0,F$8&gt;=0,F$9&gt;-1,F$10&gt;=0,F$11&gt;=0,OR(F$12=0,F$12=1)),COUNT(K146,J146)=2),K146+J146*F$10/12*(1-F$12),"n.a.")</x:f>
        <x:v>n.a.</x:v>
      </x:c>
      <x:c r="L147" s="89" t="str">
        <x:f>IF(AND(COUNT(F$7:F$12)=6,F$7&gt;=0,F$8&gt;=0,F$9&gt;-1,F$10&gt;=0,F$11&gt;=0,OR(F$12=0,F$12=1)),F$7+114*F$8,"n.a.")</x:f>
        <x:v>n.a.</x:v>
      </x:c>
    </x:row>
    <x:row r="148">
      <x:c r="C148" t="n">
        <x:v>115</x:v>
      </x:c>
      <x:c r="D148" s="89" t="str">
        <x:f>IF(AND(AND(COUNT(D$7:D$12)=6,D$7&gt;=0,D$8&gt;=0,D$9&gt;-1,D$10&gt;=0,D$11&gt;=0,OR(D$12=0,D$12=1)),ISNUMBER(D147)),D147*((1+D$9)^(1/12)+D$10/12*D$12-D$11/12)+D$8,"n.a.")</x:f>
        <x:v>n.a.</x:v>
      </x:c>
      <x:c r="E148" s="89" t="str">
        <x:f>IF(AND(AND(COUNT(D$7:D$12)=6,D$7&gt;=0,D$8&gt;=0,D$9&gt;-1,D$10&gt;=0,D$11&gt;=0,OR(D$12=0,D$12=1)),COUNT(E147,D147)=2),E147+D147*D$10/12*(1-D$12),"n.a.")</x:f>
        <x:v>n.a.</x:v>
      </x:c>
      <x:c r="F148" s="89" t="str">
        <x:f>IF(AND(COUNT(D$7:D$12)=6,D$7&gt;=0,D$8&gt;=0,D$9&gt;-1,D$10&gt;=0,D$11&gt;=0,OR(D$12=0,D$12=1)),D$7+115*D$8,"n.a.")</x:f>
        <x:v>n.a.</x:v>
      </x:c>
      <x:c r="G148" s="89" t="str">
        <x:f>IF(AND(AND(COUNT(E$7:E$12)=6,E$7&gt;=0,E$8&gt;=0,E$9&gt;-1,E$10&gt;=0,E$11&gt;=0,OR(E$12=0,E$12=1)),ISNUMBER(G147)),G147*((1+E$9)^(1/12)+E$10/12*E$12-E$11/12)+E$8,"n.a.")</x:f>
        <x:v>n.a.</x:v>
      </x:c>
      <x:c r="H148" s="89" t="str">
        <x:f>IF(AND(AND(COUNT(E$7:E$12)=6,E$7&gt;=0,E$8&gt;=0,E$9&gt;-1,E$10&gt;=0,E$11&gt;=0,OR(E$12=0,E$12=1)),COUNT(H147,G147)=2),H147+G147*E$10/12*(1-E$12),"n.a.")</x:f>
        <x:v>n.a.</x:v>
      </x:c>
      <x:c r="I148" s="89" t="str">
        <x:f>IF(AND(COUNT(E$7:E$12)=6,E$7&gt;=0,E$8&gt;=0,E$9&gt;-1,E$10&gt;=0,E$11&gt;=0,OR(E$12=0,E$12=1)),E$7+115*E$8,"n.a.")</x:f>
        <x:v>n.a.</x:v>
      </x:c>
      <x:c r="J148" s="89" t="str">
        <x:f>IF(AND(AND(COUNT(F$7:F$12)=6,F$7&gt;=0,F$8&gt;=0,F$9&gt;-1,F$10&gt;=0,F$11&gt;=0,OR(F$12=0,F$12=1)),ISNUMBER(J147)),J147*((1+F$9)^(1/12)+F$10/12*F$12-F$11/12)+F$8,"n.a.")</x:f>
        <x:v>n.a.</x:v>
      </x:c>
      <x:c r="K148" s="89" t="str">
        <x:f>IF(AND(AND(COUNT(F$7:F$12)=6,F$7&gt;=0,F$8&gt;=0,F$9&gt;-1,F$10&gt;=0,F$11&gt;=0,OR(F$12=0,F$12=1)),COUNT(K147,J147)=2),K147+J147*F$10/12*(1-F$12),"n.a.")</x:f>
        <x:v>n.a.</x:v>
      </x:c>
      <x:c r="L148" s="89" t="str">
        <x:f>IF(AND(COUNT(F$7:F$12)=6,F$7&gt;=0,F$8&gt;=0,F$9&gt;-1,F$10&gt;=0,F$11&gt;=0,OR(F$12=0,F$12=1)),F$7+115*F$8,"n.a.")</x:f>
        <x:v>n.a.</x:v>
      </x:c>
    </x:row>
    <x:row r="149">
      <x:c r="C149" t="n">
        <x:v>116</x:v>
      </x:c>
      <x:c r="D149" s="89" t="str">
        <x:f>IF(AND(AND(COUNT(D$7:D$12)=6,D$7&gt;=0,D$8&gt;=0,D$9&gt;-1,D$10&gt;=0,D$11&gt;=0,OR(D$12=0,D$12=1)),ISNUMBER(D148)),D148*((1+D$9)^(1/12)+D$10/12*D$12-D$11/12)+D$8,"n.a.")</x:f>
        <x:v>n.a.</x:v>
      </x:c>
      <x:c r="E149" s="89" t="str">
        <x:f>IF(AND(AND(COUNT(D$7:D$12)=6,D$7&gt;=0,D$8&gt;=0,D$9&gt;-1,D$10&gt;=0,D$11&gt;=0,OR(D$12=0,D$12=1)),COUNT(E148,D148)=2),E148+D148*D$10/12*(1-D$12),"n.a.")</x:f>
        <x:v>n.a.</x:v>
      </x:c>
      <x:c r="F149" s="89" t="str">
        <x:f>IF(AND(COUNT(D$7:D$12)=6,D$7&gt;=0,D$8&gt;=0,D$9&gt;-1,D$10&gt;=0,D$11&gt;=0,OR(D$12=0,D$12=1)),D$7+116*D$8,"n.a.")</x:f>
        <x:v>n.a.</x:v>
      </x:c>
      <x:c r="G149" s="89" t="str">
        <x:f>IF(AND(AND(COUNT(E$7:E$12)=6,E$7&gt;=0,E$8&gt;=0,E$9&gt;-1,E$10&gt;=0,E$11&gt;=0,OR(E$12=0,E$12=1)),ISNUMBER(G148)),G148*((1+E$9)^(1/12)+E$10/12*E$12-E$11/12)+E$8,"n.a.")</x:f>
        <x:v>n.a.</x:v>
      </x:c>
      <x:c r="H149" s="89" t="str">
        <x:f>IF(AND(AND(COUNT(E$7:E$12)=6,E$7&gt;=0,E$8&gt;=0,E$9&gt;-1,E$10&gt;=0,E$11&gt;=0,OR(E$12=0,E$12=1)),COUNT(H148,G148)=2),H148+G148*E$10/12*(1-E$12),"n.a.")</x:f>
        <x:v>n.a.</x:v>
      </x:c>
      <x:c r="I149" s="89" t="str">
        <x:f>IF(AND(COUNT(E$7:E$12)=6,E$7&gt;=0,E$8&gt;=0,E$9&gt;-1,E$10&gt;=0,E$11&gt;=0,OR(E$12=0,E$12=1)),E$7+116*E$8,"n.a.")</x:f>
        <x:v>n.a.</x:v>
      </x:c>
      <x:c r="J149" s="89" t="str">
        <x:f>IF(AND(AND(COUNT(F$7:F$12)=6,F$7&gt;=0,F$8&gt;=0,F$9&gt;-1,F$10&gt;=0,F$11&gt;=0,OR(F$12=0,F$12=1)),ISNUMBER(J148)),J148*((1+F$9)^(1/12)+F$10/12*F$12-F$11/12)+F$8,"n.a.")</x:f>
        <x:v>n.a.</x:v>
      </x:c>
      <x:c r="K149" s="89" t="str">
        <x:f>IF(AND(AND(COUNT(F$7:F$12)=6,F$7&gt;=0,F$8&gt;=0,F$9&gt;-1,F$10&gt;=0,F$11&gt;=0,OR(F$12=0,F$12=1)),COUNT(K148,J148)=2),K148+J148*F$10/12*(1-F$12),"n.a.")</x:f>
        <x:v>n.a.</x:v>
      </x:c>
      <x:c r="L149" s="89" t="str">
        <x:f>IF(AND(COUNT(F$7:F$12)=6,F$7&gt;=0,F$8&gt;=0,F$9&gt;-1,F$10&gt;=0,F$11&gt;=0,OR(F$12=0,F$12=1)),F$7+116*F$8,"n.a.")</x:f>
        <x:v>n.a.</x:v>
      </x:c>
    </x:row>
    <x:row r="150">
      <x:c r="C150" t="n">
        <x:v>117</x:v>
      </x:c>
      <x:c r="D150" s="89" t="str">
        <x:f>IF(AND(AND(COUNT(D$7:D$12)=6,D$7&gt;=0,D$8&gt;=0,D$9&gt;-1,D$10&gt;=0,D$11&gt;=0,OR(D$12=0,D$12=1)),ISNUMBER(D149)),D149*((1+D$9)^(1/12)+D$10/12*D$12-D$11/12)+D$8,"n.a.")</x:f>
        <x:v>n.a.</x:v>
      </x:c>
      <x:c r="E150" s="89" t="str">
        <x:f>IF(AND(AND(COUNT(D$7:D$12)=6,D$7&gt;=0,D$8&gt;=0,D$9&gt;-1,D$10&gt;=0,D$11&gt;=0,OR(D$12=0,D$12=1)),COUNT(E149,D149)=2),E149+D149*D$10/12*(1-D$12),"n.a.")</x:f>
        <x:v>n.a.</x:v>
      </x:c>
      <x:c r="F150" s="89" t="str">
        <x:f>IF(AND(COUNT(D$7:D$12)=6,D$7&gt;=0,D$8&gt;=0,D$9&gt;-1,D$10&gt;=0,D$11&gt;=0,OR(D$12=0,D$12=1)),D$7+117*D$8,"n.a.")</x:f>
        <x:v>n.a.</x:v>
      </x:c>
      <x:c r="G150" s="89" t="str">
        <x:f>IF(AND(AND(COUNT(E$7:E$12)=6,E$7&gt;=0,E$8&gt;=0,E$9&gt;-1,E$10&gt;=0,E$11&gt;=0,OR(E$12=0,E$12=1)),ISNUMBER(G149)),G149*((1+E$9)^(1/12)+E$10/12*E$12-E$11/12)+E$8,"n.a.")</x:f>
        <x:v>n.a.</x:v>
      </x:c>
      <x:c r="H150" s="89" t="str">
        <x:f>IF(AND(AND(COUNT(E$7:E$12)=6,E$7&gt;=0,E$8&gt;=0,E$9&gt;-1,E$10&gt;=0,E$11&gt;=0,OR(E$12=0,E$12=1)),COUNT(H149,G149)=2),H149+G149*E$10/12*(1-E$12),"n.a.")</x:f>
        <x:v>n.a.</x:v>
      </x:c>
      <x:c r="I150" s="89" t="str">
        <x:f>IF(AND(COUNT(E$7:E$12)=6,E$7&gt;=0,E$8&gt;=0,E$9&gt;-1,E$10&gt;=0,E$11&gt;=0,OR(E$12=0,E$12=1)),E$7+117*E$8,"n.a.")</x:f>
        <x:v>n.a.</x:v>
      </x:c>
      <x:c r="J150" s="89" t="str">
        <x:f>IF(AND(AND(COUNT(F$7:F$12)=6,F$7&gt;=0,F$8&gt;=0,F$9&gt;-1,F$10&gt;=0,F$11&gt;=0,OR(F$12=0,F$12=1)),ISNUMBER(J149)),J149*((1+F$9)^(1/12)+F$10/12*F$12-F$11/12)+F$8,"n.a.")</x:f>
        <x:v>n.a.</x:v>
      </x:c>
      <x:c r="K150" s="89" t="str">
        <x:f>IF(AND(AND(COUNT(F$7:F$12)=6,F$7&gt;=0,F$8&gt;=0,F$9&gt;-1,F$10&gt;=0,F$11&gt;=0,OR(F$12=0,F$12=1)),COUNT(K149,J149)=2),K149+J149*F$10/12*(1-F$12),"n.a.")</x:f>
        <x:v>n.a.</x:v>
      </x:c>
      <x:c r="L150" s="89" t="str">
        <x:f>IF(AND(COUNT(F$7:F$12)=6,F$7&gt;=0,F$8&gt;=0,F$9&gt;-1,F$10&gt;=0,F$11&gt;=0,OR(F$12=0,F$12=1)),F$7+117*F$8,"n.a.")</x:f>
        <x:v>n.a.</x:v>
      </x:c>
    </x:row>
    <x:row r="151">
      <x:c r="C151" t="n">
        <x:v>118</x:v>
      </x:c>
      <x:c r="D151" s="89" t="str">
        <x:f>IF(AND(AND(COUNT(D$7:D$12)=6,D$7&gt;=0,D$8&gt;=0,D$9&gt;-1,D$10&gt;=0,D$11&gt;=0,OR(D$12=0,D$12=1)),ISNUMBER(D150)),D150*((1+D$9)^(1/12)+D$10/12*D$12-D$11/12)+D$8,"n.a.")</x:f>
        <x:v>n.a.</x:v>
      </x:c>
      <x:c r="E151" s="89" t="str">
        <x:f>IF(AND(AND(COUNT(D$7:D$12)=6,D$7&gt;=0,D$8&gt;=0,D$9&gt;-1,D$10&gt;=0,D$11&gt;=0,OR(D$12=0,D$12=1)),COUNT(E150,D150)=2),E150+D150*D$10/12*(1-D$12),"n.a.")</x:f>
        <x:v>n.a.</x:v>
      </x:c>
      <x:c r="F151" s="89" t="str">
        <x:f>IF(AND(COUNT(D$7:D$12)=6,D$7&gt;=0,D$8&gt;=0,D$9&gt;-1,D$10&gt;=0,D$11&gt;=0,OR(D$12=0,D$12=1)),D$7+118*D$8,"n.a.")</x:f>
        <x:v>n.a.</x:v>
      </x:c>
      <x:c r="G151" s="89" t="str">
        <x:f>IF(AND(AND(COUNT(E$7:E$12)=6,E$7&gt;=0,E$8&gt;=0,E$9&gt;-1,E$10&gt;=0,E$11&gt;=0,OR(E$12=0,E$12=1)),ISNUMBER(G150)),G150*((1+E$9)^(1/12)+E$10/12*E$12-E$11/12)+E$8,"n.a.")</x:f>
        <x:v>n.a.</x:v>
      </x:c>
      <x:c r="H151" s="89" t="str">
        <x:f>IF(AND(AND(COUNT(E$7:E$12)=6,E$7&gt;=0,E$8&gt;=0,E$9&gt;-1,E$10&gt;=0,E$11&gt;=0,OR(E$12=0,E$12=1)),COUNT(H150,G150)=2),H150+G150*E$10/12*(1-E$12),"n.a.")</x:f>
        <x:v>n.a.</x:v>
      </x:c>
      <x:c r="I151" s="89" t="str">
        <x:f>IF(AND(COUNT(E$7:E$12)=6,E$7&gt;=0,E$8&gt;=0,E$9&gt;-1,E$10&gt;=0,E$11&gt;=0,OR(E$12=0,E$12=1)),E$7+118*E$8,"n.a.")</x:f>
        <x:v>n.a.</x:v>
      </x:c>
      <x:c r="J151" s="89" t="str">
        <x:f>IF(AND(AND(COUNT(F$7:F$12)=6,F$7&gt;=0,F$8&gt;=0,F$9&gt;-1,F$10&gt;=0,F$11&gt;=0,OR(F$12=0,F$12=1)),ISNUMBER(J150)),J150*((1+F$9)^(1/12)+F$10/12*F$12-F$11/12)+F$8,"n.a.")</x:f>
        <x:v>n.a.</x:v>
      </x:c>
      <x:c r="K151" s="89" t="str">
        <x:f>IF(AND(AND(COUNT(F$7:F$12)=6,F$7&gt;=0,F$8&gt;=0,F$9&gt;-1,F$10&gt;=0,F$11&gt;=0,OR(F$12=0,F$12=1)),COUNT(K150,J150)=2),K150+J150*F$10/12*(1-F$12),"n.a.")</x:f>
        <x:v>n.a.</x:v>
      </x:c>
      <x:c r="L151" s="89" t="str">
        <x:f>IF(AND(COUNT(F$7:F$12)=6,F$7&gt;=0,F$8&gt;=0,F$9&gt;-1,F$10&gt;=0,F$11&gt;=0,OR(F$12=0,F$12=1)),F$7+118*F$8,"n.a.")</x:f>
        <x:v>n.a.</x:v>
      </x:c>
    </x:row>
    <x:row r="152">
      <x:c r="C152" t="n">
        <x:v>119</x:v>
      </x:c>
      <x:c r="D152" s="89" t="str">
        <x:f>IF(AND(AND(COUNT(D$7:D$12)=6,D$7&gt;=0,D$8&gt;=0,D$9&gt;-1,D$10&gt;=0,D$11&gt;=0,OR(D$12=0,D$12=1)),ISNUMBER(D151)),D151*((1+D$9)^(1/12)+D$10/12*D$12-D$11/12)+D$8,"n.a.")</x:f>
        <x:v>n.a.</x:v>
      </x:c>
      <x:c r="E152" s="89" t="str">
        <x:f>IF(AND(AND(COUNT(D$7:D$12)=6,D$7&gt;=0,D$8&gt;=0,D$9&gt;-1,D$10&gt;=0,D$11&gt;=0,OR(D$12=0,D$12=1)),COUNT(E151,D151)=2),E151+D151*D$10/12*(1-D$12),"n.a.")</x:f>
        <x:v>n.a.</x:v>
      </x:c>
      <x:c r="F152" s="89" t="str">
        <x:f>IF(AND(COUNT(D$7:D$12)=6,D$7&gt;=0,D$8&gt;=0,D$9&gt;-1,D$10&gt;=0,D$11&gt;=0,OR(D$12=0,D$12=1)),D$7+119*D$8,"n.a.")</x:f>
        <x:v>n.a.</x:v>
      </x:c>
      <x:c r="G152" s="89" t="str">
        <x:f>IF(AND(AND(COUNT(E$7:E$12)=6,E$7&gt;=0,E$8&gt;=0,E$9&gt;-1,E$10&gt;=0,E$11&gt;=0,OR(E$12=0,E$12=1)),ISNUMBER(G151)),G151*((1+E$9)^(1/12)+E$10/12*E$12-E$11/12)+E$8,"n.a.")</x:f>
        <x:v>n.a.</x:v>
      </x:c>
      <x:c r="H152" s="89" t="str">
        <x:f>IF(AND(AND(COUNT(E$7:E$12)=6,E$7&gt;=0,E$8&gt;=0,E$9&gt;-1,E$10&gt;=0,E$11&gt;=0,OR(E$12=0,E$12=1)),COUNT(H151,G151)=2),H151+G151*E$10/12*(1-E$12),"n.a.")</x:f>
        <x:v>n.a.</x:v>
      </x:c>
      <x:c r="I152" s="89" t="str">
        <x:f>IF(AND(COUNT(E$7:E$12)=6,E$7&gt;=0,E$8&gt;=0,E$9&gt;-1,E$10&gt;=0,E$11&gt;=0,OR(E$12=0,E$12=1)),E$7+119*E$8,"n.a.")</x:f>
        <x:v>n.a.</x:v>
      </x:c>
      <x:c r="J152" s="89" t="str">
        <x:f>IF(AND(AND(COUNT(F$7:F$12)=6,F$7&gt;=0,F$8&gt;=0,F$9&gt;-1,F$10&gt;=0,F$11&gt;=0,OR(F$12=0,F$12=1)),ISNUMBER(J151)),J151*((1+F$9)^(1/12)+F$10/12*F$12-F$11/12)+F$8,"n.a.")</x:f>
        <x:v>n.a.</x:v>
      </x:c>
      <x:c r="K152" s="89" t="str">
        <x:f>IF(AND(AND(COUNT(F$7:F$12)=6,F$7&gt;=0,F$8&gt;=0,F$9&gt;-1,F$10&gt;=0,F$11&gt;=0,OR(F$12=0,F$12=1)),COUNT(K151,J151)=2),K151+J151*F$10/12*(1-F$12),"n.a.")</x:f>
        <x:v>n.a.</x:v>
      </x:c>
      <x:c r="L152" s="89" t="str">
        <x:f>IF(AND(COUNT(F$7:F$12)=6,F$7&gt;=0,F$8&gt;=0,F$9&gt;-1,F$10&gt;=0,F$11&gt;=0,OR(F$12=0,F$12=1)),F$7+119*F$8,"n.a.")</x:f>
        <x:v>n.a.</x:v>
      </x:c>
    </x:row>
    <x:row r="153">
      <x:c r="C153" t="n">
        <x:v>120</x:v>
      </x:c>
      <x:c r="D153" s="89" t="str">
        <x:f>IF(AND(AND(COUNT(D$7:D$12)=6,D$7&gt;=0,D$8&gt;=0,D$9&gt;-1,D$10&gt;=0,D$11&gt;=0,OR(D$12=0,D$12=1)),ISNUMBER(D152)),D152*((1+D$9)^(1/12)+D$10/12*D$12-D$11/12)+D$8,"n.a.")</x:f>
        <x:v>n.a.</x:v>
      </x:c>
      <x:c r="E153" s="89" t="str">
        <x:f>IF(AND(AND(COUNT(D$7:D$12)=6,D$7&gt;=0,D$8&gt;=0,D$9&gt;-1,D$10&gt;=0,D$11&gt;=0,OR(D$12=0,D$12=1)),COUNT(E152,D152)=2),E152+D152*D$10/12*(1-D$12),"n.a.")</x:f>
        <x:v>n.a.</x:v>
      </x:c>
      <x:c r="F153" s="89" t="str">
        <x:f>IF(AND(COUNT(D$7:D$12)=6,D$7&gt;=0,D$8&gt;=0,D$9&gt;-1,D$10&gt;=0,D$11&gt;=0,OR(D$12=0,D$12=1)),D$7+120*D$8,"n.a.")</x:f>
        <x:v>n.a.</x:v>
      </x:c>
      <x:c r="G153" s="89" t="str">
        <x:f>IF(AND(AND(COUNT(E$7:E$12)=6,E$7&gt;=0,E$8&gt;=0,E$9&gt;-1,E$10&gt;=0,E$11&gt;=0,OR(E$12=0,E$12=1)),ISNUMBER(G152)),G152*((1+E$9)^(1/12)+E$10/12*E$12-E$11/12)+E$8,"n.a.")</x:f>
        <x:v>n.a.</x:v>
      </x:c>
      <x:c r="H153" s="89" t="str">
        <x:f>IF(AND(AND(COUNT(E$7:E$12)=6,E$7&gt;=0,E$8&gt;=0,E$9&gt;-1,E$10&gt;=0,E$11&gt;=0,OR(E$12=0,E$12=1)),COUNT(H152,G152)=2),H152+G152*E$10/12*(1-E$12),"n.a.")</x:f>
        <x:v>n.a.</x:v>
      </x:c>
      <x:c r="I153" s="89" t="str">
        <x:f>IF(AND(COUNT(E$7:E$12)=6,E$7&gt;=0,E$8&gt;=0,E$9&gt;-1,E$10&gt;=0,E$11&gt;=0,OR(E$12=0,E$12=1)),E$7+120*E$8,"n.a.")</x:f>
        <x:v>n.a.</x:v>
      </x:c>
      <x:c r="J153" s="89" t="str">
        <x:f>IF(AND(AND(COUNT(F$7:F$12)=6,F$7&gt;=0,F$8&gt;=0,F$9&gt;-1,F$10&gt;=0,F$11&gt;=0,OR(F$12=0,F$12=1)),ISNUMBER(J152)),J152*((1+F$9)^(1/12)+F$10/12*F$12-F$11/12)+F$8,"n.a.")</x:f>
        <x:v>n.a.</x:v>
      </x:c>
      <x:c r="K153" s="89" t="str">
        <x:f>IF(AND(AND(COUNT(F$7:F$12)=6,F$7&gt;=0,F$8&gt;=0,F$9&gt;-1,F$10&gt;=0,F$11&gt;=0,OR(F$12=0,F$12=1)),COUNT(K152,J152)=2),K152+J152*F$10/12*(1-F$12),"n.a.")</x:f>
        <x:v>n.a.</x:v>
      </x:c>
      <x:c r="L153" s="89" t="str">
        <x:f>IF(AND(COUNT(F$7:F$12)=6,F$7&gt;=0,F$8&gt;=0,F$9&gt;-1,F$10&gt;=0,F$11&gt;=0,OR(F$12=0,F$12=1)),F$7+120*F$8,"n.a.")</x:f>
        <x:v>n.a.</x:v>
      </x:c>
    </x:row>
    <x:row r="157">
      <x:c r="C157" s="91" t="str">
        <x:v>Historical price returns</x:v>
      </x:c>
      <x:c r="D157" s="91" t="str">
        <x:v>Fund 1</x:v>
      </x:c>
      <x:c r="E157" s="91" t="str">
        <x:v>Fund 2</x:v>
      </x:c>
      <x:c r="F157" s="91" t="str">
        <x:v>Fund 3</x:v>
      </x:c>
      <x:c r="G157" s="91" t="str">
        <x:v>Years</x:v>
      </x:c>
    </x:row>
    <x:row r="158">
      <x:c r="C158" t="str">
        <x:v>1-year cumulative price return</x:v>
      </x:c>
      <x:c r="D158" s="92"/>
      <x:c r="E158" s="92"/>
      <x:c r="F158" s="92"/>
      <x:c r="G158" t="n">
        <x:v>1</x:v>
      </x:c>
    </x:row>
    <x:row r="159">
      <x:c r="C159" t="str">
        <x:v>2-year cumulative price return</x:v>
      </x:c>
      <x:c r="D159" s="92"/>
      <x:c r="E159" s="92"/>
      <x:c r="F159" s="92"/>
      <x:c r="G159" t="n">
        <x:v>2</x:v>
      </x:c>
    </x:row>
    <x:row r="160">
      <x:c r="C160" t="str">
        <x:v>3-year cumulative price return</x:v>
      </x:c>
      <x:c r="D160" s="92"/>
      <x:c r="E160" s="92"/>
      <x:c r="F160" s="92"/>
      <x:c r="G160" t="n">
        <x:v>3</x:v>
      </x:c>
    </x:row>
    <x:row r="161">
      <x:c r="C161" t="str">
        <x:v>5-year cumulative price return</x:v>
      </x:c>
      <x:c r="D161" s="92"/>
      <x:c r="E161" s="92"/>
      <x:c r="F161" s="92"/>
      <x:c r="G161" t="n">
        <x:v>5</x:v>
      </x:c>
    </x:row>
    <x:row r="162">
      <x:c r="C162" t="str">
        <x:v>10-year cumulative price return</x:v>
      </x:c>
      <x:c r="D162" s="92"/>
      <x:c r="E162" s="92"/>
      <x:c r="F162" s="92"/>
      <x:c r="G162" t="n">
        <x:v>10</x:v>
      </x:c>
    </x:row>
    <x:row r="165">
      <x:c r="C165" t="str">
        <x:v>1-year annualised price return</x:v>
      </x:c>
      <x:c r="D165" s="93" t="str">
        <x:f>IF(ISNUMBER(D158),IF(D158&gt;-1,(1+D158)^(1/$G158)-1,"n.a."),"n.a.")</x:f>
        <x:v>n.a.</x:v>
      </x:c>
      <x:c r="E165" s="93" t="str">
        <x:f>IF(ISNUMBER(E158),IF(E158&gt;-1,(1+E158)^(1/$G158)-1,"n.a."),"n.a.")</x:f>
        <x:v>n.a.</x:v>
      </x:c>
      <x:c r="F165" s="93" t="str">
        <x:f>IF(ISNUMBER(F158),IF(F158&gt;-1,(1+F158)^(1/$G158)-1,"n.a."),"n.a.")</x:f>
        <x:v>n.a.</x:v>
      </x:c>
    </x:row>
    <x:row r="166">
      <x:c r="C166" t="str">
        <x:v>2-year annualised price return</x:v>
      </x:c>
      <x:c r="D166" s="93" t="str">
        <x:f>IF(ISNUMBER(D159),IF(D159&gt;-1,(1+D159)^(1/$G159)-1,"n.a."),"n.a.")</x:f>
        <x:v>n.a.</x:v>
      </x:c>
      <x:c r="E166" s="93" t="str">
        <x:f>IF(ISNUMBER(E159),IF(E159&gt;-1,(1+E159)^(1/$G159)-1,"n.a."),"n.a.")</x:f>
        <x:v>n.a.</x:v>
      </x:c>
      <x:c r="F166" s="93" t="str">
        <x:f>IF(ISNUMBER(F159),IF(F159&gt;-1,(1+F159)^(1/$G159)-1,"n.a."),"n.a.")</x:f>
        <x:v>n.a.</x:v>
      </x:c>
    </x:row>
    <x:row r="167">
      <x:c r="C167" t="str">
        <x:v>3-year annualised price return</x:v>
      </x:c>
      <x:c r="D167" s="93" t="str">
        <x:f>IF(ISNUMBER(D160),IF(D160&gt;-1,(1+D160)^(1/$G160)-1,"n.a."),"n.a.")</x:f>
        <x:v>n.a.</x:v>
      </x:c>
      <x:c r="E167" s="93" t="str">
        <x:f>IF(ISNUMBER(E160),IF(E160&gt;-1,(1+E160)^(1/$G160)-1,"n.a."),"n.a.")</x:f>
        <x:v>n.a.</x:v>
      </x:c>
      <x:c r="F167" s="93" t="str">
        <x:f>IF(ISNUMBER(F160),IF(F160&gt;-1,(1+F160)^(1/$G160)-1,"n.a."),"n.a.")</x:f>
        <x:v>n.a.</x:v>
      </x:c>
    </x:row>
    <x:row r="168">
      <x:c r="C168" t="str">
        <x:v>5-year annualised price return</x:v>
      </x:c>
      <x:c r="D168" s="93" t="str">
        <x:f>IF(ISNUMBER(D161),IF(D161&gt;-1,(1+D161)^(1/$G161)-1,"n.a."),"n.a.")</x:f>
        <x:v>n.a.</x:v>
      </x:c>
      <x:c r="E168" s="93" t="str">
        <x:f>IF(ISNUMBER(E161),IF(E161&gt;-1,(1+E161)^(1/$G161)-1,"n.a."),"n.a.")</x:f>
        <x:v>n.a.</x:v>
      </x:c>
      <x:c r="F168" s="93" t="str">
        <x:f>IF(ISNUMBER(F161),IF(F161&gt;-1,(1+F161)^(1/$G161)-1,"n.a."),"n.a.")</x:f>
        <x:v>n.a.</x:v>
      </x:c>
    </x:row>
    <x:row r="169">
      <x:c r="C169" t="str">
        <x:v>10-year annualised price return</x:v>
      </x:c>
      <x:c r="D169" s="93" t="str">
        <x:f>IF(ISNUMBER(D162),IF(D162&gt;-1,(1+D162)^(1/$G162)-1,"n.a."),"n.a.")</x:f>
        <x:v>n.a.</x:v>
      </x:c>
      <x:c r="E169" s="93" t="str">
        <x:f>IF(ISNUMBER(E162),IF(E162&gt;-1,(1+E162)^(1/$G162)-1,"n.a."),"n.a.")</x:f>
        <x:v>n.a.</x:v>
      </x:c>
      <x:c r="F169" s="93" t="str">
        <x:f>IF(ISNUMBER(F162),IF(F162&gt;-1,(1+F162)^(1/$G162)-1,"n.a."),"n.a.")</x:f>
        <x:v>n.a.</x:v>
      </x:c>
    </x:row>
    <x:row r="172">
      <x:c r="C172" t="str">
        <x:v>Age after 10 years</x:v>
      </x:c>
      <x:c r="D172" t="str">
        <x:f>IF(ISNUMBER(D13),D13+10,"n.a.")</x:f>
        <x:v>n.a.</x:v>
      </x:c>
      <x:c r="E172" t="str">
        <x:f>IF(ISNUMBER(E13),E13+10,"n.a.")</x:f>
        <x:v>n.a.</x:v>
      </x:c>
      <x:c r="F172" t="str">
        <x:f>IF(ISNUMBER(F13),F13+10,"n.a.")</x:f>
        <x:v>n.a.</x:v>
      </x:c>
    </x:row>
  </x:sheetData>
  <x:dataValidations count="1">
    <x:dataValidation type="list" sqref="D12:F12">
      <x:formula1>"0,1"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Industry Metrics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Optional operating measures from your sector workbooks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Optional annual-report inputs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" t="str">
        <x:v>Fleet deadweight capacity (DWT)</x:v>
      </x:c>
      <x:c r="D8" s="48"/>
      <x:c r="E8" s="48"/>
      <x:c r="F8" s="48"/>
      <x:c r="G8" s="48"/>
      <x:c r="H8" s="48"/>
      <x:c r="I8" s="48"/>
      <x:c r="J8" s="2"/>
      <x:c r="K8" s="2"/>
      <x:c r="L8" s="2"/>
      <x:c r="M8" s="2"/>
    </x:row>
    <x:row r="9" ht="23" customHeight="1">
      <x:c r="A9" s="1"/>
      <x:c r="B9" s="1"/>
      <x:c r="C9" s="2" t="str">
        <x:v>Annual liquids production (million barrels)</x:v>
      </x:c>
      <x:c r="D9" s="48"/>
      <x:c r="E9" s="48"/>
      <x:c r="F9" s="48"/>
      <x:c r="G9" s="48"/>
      <x:c r="H9" s="48"/>
      <x:c r="I9" s="48"/>
      <x:c r="J9" s="2"/>
      <x:c r="K9" s="2"/>
      <x:c r="L9" s="2"/>
      <x:c r="M9" s="2"/>
    </x:row>
    <x:row r="10" ht="23" customHeight="1">
      <x:c r="A10" s="1"/>
      <x:c r="B10" s="1"/>
      <x:c r="C10" s="2" t="str">
        <x:v>Annual gas production (billion cubic feet)</x:v>
      </x:c>
      <x:c r="D10" s="48"/>
      <x:c r="E10" s="48"/>
      <x:c r="F10" s="48"/>
      <x:c r="G10" s="48"/>
      <x:c r="H10" s="48"/>
      <x:c r="I10" s="48"/>
      <x:c r="J10" s="2"/>
      <x:c r="K10" s="2"/>
      <x:c r="L10" s="2"/>
      <x:c r="M10" s="2"/>
    </x:row>
    <x:row r="11" ht="23" customHeight="1">
      <x:c r="A11" s="1"/>
      <x:c r="B11" s="1"/>
      <x:c r="C11" s="2" t="str">
        <x:v>Annual production (million BOE)</x:v>
      </x:c>
      <x:c r="D11" s="48"/>
      <x:c r="E11" s="48"/>
      <x:c r="F11" s="48"/>
      <x:c r="G11" s="48"/>
      <x:c r="H11" s="48"/>
      <x:c r="I11" s="48"/>
      <x:c r="J11" s="2"/>
      <x:c r="K11" s="2"/>
      <x:c r="L11" s="2"/>
      <x:c r="M11" s="2"/>
    </x:row>
    <x:row r="12" ht="23" customHeight="1">
      <x:c r="A12" s="1"/>
      <x:c r="B12" s="1"/>
      <x:c r="C12" s="2" t="str">
        <x:v>Installed generation capacity (MW)</x:v>
      </x:c>
      <x:c r="D12" s="48"/>
      <x:c r="E12" s="48"/>
      <x:c r="F12" s="48"/>
      <x:c r="G12" s="48"/>
      <x:c r="H12" s="48"/>
      <x:c r="I12" s="48"/>
      <x:c r="J12" s="2"/>
      <x:c r="K12" s="2"/>
      <x:c r="L12" s="2"/>
      <x:c r="M12" s="2"/>
    </x:row>
    <x:row r="13" ht="23" customHeight="1">
      <x:c r="A13" s="1"/>
      <x:c r="B13" s="1"/>
      <x:c r="C13" s="2" t="str">
        <x:v>Annual generation (GWh)</x:v>
      </x:c>
      <x:c r="D13" s="48"/>
      <x:c r="E13" s="48"/>
      <x:c r="F13" s="48"/>
      <x:c r="G13" s="48"/>
      <x:c r="H13" s="48"/>
      <x:c r="I13" s="48"/>
      <x:c r="J13" s="2"/>
      <x:c r="K13" s="2"/>
      <x:c r="L13" s="2"/>
      <x:c r="M13" s="2"/>
    </x:row>
    <x:row r="14" ht="23" customHeight="1">
      <x:c r="A14" s="1"/>
      <x:c r="B14" s="1"/>
      <x:c r="C14" s="2" t="str">
        <x:v>Order backlog, monetary scale</x:v>
      </x:c>
      <x:c r="D14" s="48"/>
      <x:c r="E14" s="48"/>
      <x:c r="F14" s="48"/>
      <x:c r="G14" s="48"/>
      <x:c r="H14" s="48"/>
      <x:c r="I14" s="48"/>
      <x:c r="J14" s="2"/>
      <x:c r="K14" s="2"/>
      <x:c r="L14" s="2"/>
      <x:c r="M14" s="2"/>
    </x:row>
    <x:row r="15" ht="23" customHeight="1">
      <x:c r="A15" s="1"/>
      <x:c r="B15" s="1"/>
      <x:c r="C15" s="2" t="str">
        <x:v>New orders, monetary scale</x:v>
      </x:c>
      <x:c r="D15" s="48"/>
      <x:c r="E15" s="48"/>
      <x:c r="F15" s="48"/>
      <x:c r="G15" s="48"/>
      <x:c r="H15" s="48"/>
      <x:c r="I15" s="48"/>
      <x:c r="J15" s="2"/>
      <x:c r="K15" s="2"/>
      <x:c r="L15" s="2"/>
      <x:c r="M15" s="2"/>
    </x:row>
    <x:row r="16" ht="25" customHeight="1">
      <x:c r="A16" s="1"/>
      <x:c r="B16" s="1"/>
      <x:c r="C16" s="34" t="str">
        <x:v>Sector calculations</x:v>
      </x:c>
      <x:c r="D16" s="34"/>
      <x:c r="E16" s="34"/>
      <x:c r="F16" s="34"/>
      <x:c r="G16" s="34"/>
      <x:c r="H16" s="34"/>
      <x:c r="I16" s="34"/>
      <x:c r="J16" s="2"/>
      <x:c r="K16" s="2"/>
      <x:c r="L16" s="2"/>
      <x:c r="M16" s="2"/>
    </x:row>
    <x:row r="17" ht="23" customHeight="1">
      <x:c r="A17" s="1"/>
      <x:c r="B17" s="1"/>
      <x:c r="C17" s="2" t="str">
        <x:v>Revenue per DWT, currency units</x:v>
      </x:c>
      <x:c r="D17" s="30"/>
      <x:c r="E17" s="46" t="str">
        <x:f>IF(COUNT('Income Statement'!E8,'Setup'!$E$10,'Industry Metrics'!E8)&lt;3,"n.a.",IF(('Industry Metrics'!E8)&gt;0,('Income Statement'!E8*'Setup'!$E$10)/('Industry Metrics'!E8),"n.a."))</x:f>
        <x:v>n.a.</x:v>
      </x:c>
      <x:c r="F17" s="46" t="str">
        <x:f>IF(COUNT('Income Statement'!F8,'Setup'!$E$10,'Industry Metrics'!F8)&lt;3,"n.a.",IF(('Industry Metrics'!F8)&gt;0,('Income Statement'!F8*'Setup'!$E$10)/('Industry Metrics'!F8),"n.a."))</x:f>
        <x:v>n.a.</x:v>
      </x:c>
      <x:c r="G17" s="46" t="str">
        <x:f>IF(COUNT('Income Statement'!G8,'Setup'!$E$10,'Industry Metrics'!G8)&lt;3,"n.a.",IF(('Industry Metrics'!G8)&gt;0,('Income Statement'!G8*'Setup'!$E$10)/('Industry Metrics'!G8),"n.a."))</x:f>
        <x:v>n.a.</x:v>
      </x:c>
      <x:c r="H17" s="46" t="str">
        <x:f>IF(COUNT('Income Statement'!H8,'Setup'!$E$10,'Industry Metrics'!H8)&lt;3,"n.a.",IF(('Industry Metrics'!H8)&gt;0,('Income Statement'!H8*'Setup'!$E$10)/('Industry Metrics'!H8),"n.a."))</x:f>
        <x:v>n.a.</x:v>
      </x:c>
      <x:c r="I17" s="46" t="str">
        <x:f>IF(COUNT('Income Statement'!I8,'Setup'!$E$10,'Industry Metrics'!I8)&lt;3,"n.a.",IF(('Industry Metrics'!I8)&gt;0,('Income Statement'!I8*'Setup'!$E$10)/('Industry Metrics'!I8),"n.a."))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 t="str">
        <x:v>Revenue per BOE, currency units</x:v>
      </x:c>
      <x:c r="D18" s="30"/>
      <x:c r="E18" s="45" t="str">
        <x:f>IF(COUNT('Income Statement'!E8,'Setup'!$E$10,'Industry Metrics'!E11)&lt;3,"n.a.",IF(('Industry Metrics'!E11*1000000)&gt;0,('Income Statement'!E8*'Setup'!$E$10)/('Industry Metrics'!E11*1000000),"n.a."))</x:f>
        <x:v>n.a.</x:v>
      </x:c>
      <x:c r="F18" s="45" t="str">
        <x:f>IF(COUNT('Income Statement'!F8,'Setup'!$E$10,'Industry Metrics'!F11)&lt;3,"n.a.",IF(('Industry Metrics'!F11*1000000)&gt;0,('Income Statement'!F8*'Setup'!$E$10)/('Industry Metrics'!F11*1000000),"n.a."))</x:f>
        <x:v>n.a.</x:v>
      </x:c>
      <x:c r="G18" s="45" t="str">
        <x:f>IF(COUNT('Income Statement'!G8,'Setup'!$E$10,'Industry Metrics'!G11)&lt;3,"n.a.",IF(('Industry Metrics'!G11*1000000)&gt;0,('Income Statement'!G8*'Setup'!$E$10)/('Industry Metrics'!G11*1000000),"n.a."))</x:f>
        <x:v>n.a.</x:v>
      </x:c>
      <x:c r="H18" s="45" t="str">
        <x:f>IF(COUNT('Income Statement'!H8,'Setup'!$E$10,'Industry Metrics'!H11)&lt;3,"n.a.",IF(('Industry Metrics'!H11*1000000)&gt;0,('Income Statement'!H8*'Setup'!$E$10)/('Industry Metrics'!H11*1000000),"n.a."))</x:f>
        <x:v>n.a.</x:v>
      </x:c>
      <x:c r="I18" s="45" t="str">
        <x:f>IF(COUNT('Income Statement'!I8,'Setup'!$E$10,'Industry Metrics'!I11)&lt;3,"n.a.",IF(('Industry Metrics'!I11*1000000)&gt;0,('Income Statement'!I8*'Setup'!$E$10)/('Industry Metrics'!I11*1000000),"n.a."))</x:f>
        <x:v>n.a.</x:v>
      </x:c>
      <x:c r="J18" s="2"/>
      <x:c r="K18" s="2" t="str">
        <x:v>Group revenue / production; affected by downstream and trading activities.</x:v>
      </x:c>
      <x:c r="L18" s="2"/>
      <x:c r="M18" s="2"/>
    </x:row>
    <x:row r="19" ht="23" customHeight="1">
      <x:c r="A19" s="1"/>
      <x:c r="B19" s="1"/>
      <x:c r="C19" s="20" t="str">
        <x:v>Backlog / revenue</x:v>
      </x:c>
      <x:c r="D19" s="26"/>
      <x:c r="E19" s="41" t="str">
        <x:f>IF(COUNT('Industry Metrics'!E14,'Income Statement'!E8)&lt;2,"n.a.",IF(('Income Statement'!E8)&gt;0,('Industry Metrics'!E14)/('Income Statement'!E8),"n.a."))</x:f>
        <x:v>n.a.</x:v>
      </x:c>
      <x:c r="F19" s="41" t="str">
        <x:f>IF(COUNT('Industry Metrics'!F14,'Income Statement'!F8)&lt;2,"n.a.",IF(('Income Statement'!F8)&gt;0,('Industry Metrics'!F14)/('Income Statement'!F8),"n.a."))</x:f>
        <x:v>n.a.</x:v>
      </x:c>
      <x:c r="G19" s="41" t="str">
        <x:f>IF(COUNT('Industry Metrics'!G14,'Income Statement'!G8)&lt;2,"n.a.",IF(('Income Statement'!G8)&gt;0,('Industry Metrics'!G14)/('Income Statement'!G8),"n.a."))</x:f>
        <x:v>n.a.</x:v>
      </x:c>
      <x:c r="H19" s="41" t="str">
        <x:f>IF(COUNT('Industry Metrics'!H14,'Income Statement'!H8)&lt;2,"n.a.",IF(('Income Statement'!H8)&gt;0,('Industry Metrics'!H14)/('Income Statement'!H8),"n.a."))</x:f>
        <x:v>n.a.</x:v>
      </x:c>
      <x:c r="I19" s="41" t="str">
        <x:f>IF(COUNT('Industry Metrics'!I14,'Income Statement'!I8)&lt;2,"n.a.",IF(('Income Statement'!I8)&gt;0,('Industry Metrics'!I14)/('Income Statement'!I8),"n.a."))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Orders / revenue (book-to-bill)</x:v>
      </x:c>
      <x:c r="D20" s="26"/>
      <x:c r="E20" s="42" t="str">
        <x:f>IF(COUNT('Industry Metrics'!E15,'Income Statement'!E8)&lt;2,"n.a.",IF(('Income Statement'!E8)&gt;0,('Industry Metrics'!E15)/('Income Statement'!E8),"n.a."))</x:f>
        <x:v>n.a.</x:v>
      </x:c>
      <x:c r="F20" s="42" t="str">
        <x:f>IF(COUNT('Industry Metrics'!F15,'Income Statement'!F8)&lt;2,"n.a.",IF(('Income Statement'!F8)&gt;0,('Industry Metrics'!F15)/('Income Statement'!F8),"n.a."))</x:f>
        <x:v>n.a.</x:v>
      </x:c>
      <x:c r="G20" s="42" t="str">
        <x:f>IF(COUNT('Industry Metrics'!G15,'Income Statement'!G8)&lt;2,"n.a.",IF(('Income Statement'!G8)&gt;0,('Industry Metrics'!G15)/('Income Statement'!G8),"n.a."))</x:f>
        <x:v>n.a.</x:v>
      </x:c>
      <x:c r="H20" s="42" t="str">
        <x:f>IF(COUNT('Industry Metrics'!H15,'Income Statement'!H8)&lt;2,"n.a.",IF(('Income Statement'!H8)&gt;0,('Industry Metrics'!H15)/('Income Statement'!H8),"n.a."))</x:f>
        <x:v>n.a.</x:v>
      </x:c>
      <x:c r="I20" s="42" t="str">
        <x:f>IF(COUNT('Industry Metrics'!I15,'Income Statement'!I8)&lt;2,"n.a.",IF(('Income Statement'!I8)&gt;0,('Industry Metrics'!I15)/('Income Statement'!I8),"n.a."))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R&amp;D intensity</x:v>
      </x:c>
      <x:c r="D21" s="21"/>
      <x:c r="E21" s="37" t="str">
        <x:f>IF(COUNT('Income Statement'!E13,'Income Statement'!E8)&lt;2,"n.a.",IF(('Income Statement'!E8)&gt;0,('Income Statement'!E13)/('Income Statement'!E8),"n.a."))</x:f>
        <x:v>n.a.</x:v>
      </x:c>
      <x:c r="F21" s="37" t="str">
        <x:f>IF(COUNT('Income Statement'!F13,'Income Statement'!F8)&lt;2,"n.a.",IF(('Income Statement'!F8)&gt;0,('Income Statement'!F13)/('Income Statement'!F8),"n.a."))</x:f>
        <x:v>n.a.</x:v>
      </x:c>
      <x:c r="G21" s="37" t="str">
        <x:f>IF(COUNT('Income Statement'!G13,'Income Statement'!G8)&lt;2,"n.a.",IF(('Income Statement'!G8)&gt;0,('Income Statement'!G13)/('Income Statement'!G8),"n.a."))</x:f>
        <x:v>n.a.</x:v>
      </x:c>
      <x:c r="H21" s="37" t="str">
        <x:f>IF(COUNT('Income Statement'!H13,'Income Statement'!H8)&lt;2,"n.a.",IF(('Income Statement'!H8)&gt;0,('Income Statement'!H13)/('Income Statement'!H8),"n.a."))</x:f>
        <x:v>n.a.</x:v>
      </x:c>
      <x:c r="I21" s="37" t="str">
        <x:f>IF(COUNT('Income Statement'!I13,'Income Statement'!I8)&lt;2,"n.a.",IF(('Income Statement'!I8)&gt;0,('Income Statement'!I13)/('Income Statement'!I8),"n.a."))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BCA88E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Inputs &gt;&gt;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Annual-report inputs and supporting review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1"/>
      <x:c r="B6" s="1"/>
      <x:c r="C6" s="2" t="str">
        <x:v>Enter financial statements from the annual reports in the tabs to the right.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1"/>
      <x:c r="B8" s="1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1"/>
      <x:c r="B9" s="1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1"/>
      <x:c r="B10" s="1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3" customHeight="1">
      <x:c r="A11" s="1"/>
      <x:c r="B11" s="1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3" customHeight="1">
      <x:c r="A12" s="1"/>
      <x:c r="B12" s="1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3" customHeight="1">
      <x:c r="A13" s="1"/>
      <x:c r="B13" s="1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3" customHeight="1">
      <x:c r="A14" s="1"/>
      <x:c r="B14" s="1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1"/>
      <x:c r="B15" s="1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Balance Sheet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Enter reported balances. Monetary amounts use the Setup scale.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 t="str">
        <x:v>One source per year: use the report fields below the statement.</x:v>
      </x:c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 t="str">
        <x:v>Mapping / annual-report line</x:v>
      </x:c>
      <x:c r="L5" s="2" t="str">
        <x:v>Report / page</x:v>
      </x:c>
      <x:c r="M5" s="2" t="str">
        <x:v>URL / source note</x:v>
      </x:c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Current assets</x:v>
      </x:c>
      <x:c r="D7" s="34"/>
      <x:c r="E7" s="34"/>
      <x:c r="F7" s="34"/>
      <x:c r="G7" s="34"/>
      <x:c r="H7" s="34"/>
      <x:c r="I7" s="34"/>
      <x:c r="J7" s="2"/>
      <x:c r="K7" s="2"/>
      <x:c r="L7" s="62"/>
      <x:c r="M7" s="62"/>
    </x:row>
    <x:row r="8" ht="23" customHeight="1">
      <x:c r="A8" s="1"/>
      <x:c r="B8" s="1"/>
      <x:c r="C8" s="2" t="str">
        <x:v>Cash and cash equivalents</x:v>
      </x:c>
      <x:c r="D8" s="48"/>
      <x:c r="E8" s="48"/>
      <x:c r="F8" s="48"/>
      <x:c r="G8" s="48"/>
      <x:c r="H8" s="48"/>
      <x:c r="I8" s="48"/>
      <x:c r="J8" s="2"/>
      <x:c r="K8" s="2"/>
      <x:c r="L8" s="62"/>
      <x:c r="M8" s="62"/>
    </x:row>
    <x:row r="9" ht="23" customHeight="1">
      <x:c r="A9" s="1"/>
      <x:c r="B9" s="1"/>
      <x:c r="C9" s="2" t="str">
        <x:v>Liquid short-term investments</x:v>
      </x:c>
      <x:c r="D9" s="48"/>
      <x:c r="E9" s="48"/>
      <x:c r="F9" s="48"/>
      <x:c r="G9" s="48"/>
      <x:c r="H9" s="48"/>
      <x:c r="I9" s="48"/>
      <x:c r="J9" s="2"/>
      <x:c r="K9" s="2"/>
      <x:c r="L9" s="62"/>
      <x:c r="M9" s="62"/>
    </x:row>
    <x:row r="10" ht="23" customHeight="1">
      <x:c r="A10" s="1"/>
      <x:c r="B10" s="1"/>
      <x:c r="C10" s="2" t="str">
        <x:v>Trade receivables</x:v>
      </x:c>
      <x:c r="D10" s="48"/>
      <x:c r="E10" s="48"/>
      <x:c r="F10" s="48"/>
      <x:c r="G10" s="48"/>
      <x:c r="H10" s="48"/>
      <x:c r="I10" s="48"/>
      <x:c r="J10" s="2"/>
      <x:c r="K10" s="2"/>
      <x:c r="L10" s="62"/>
      <x:c r="M10" s="62"/>
    </x:row>
    <x:row r="11" ht="23" customHeight="1">
      <x:c r="A11" s="1"/>
      <x:c r="B11" s="1"/>
      <x:c r="C11" s="2" t="str">
        <x:v>Inventories</x:v>
      </x:c>
      <x:c r="D11" s="48"/>
      <x:c r="E11" s="48"/>
      <x:c r="F11" s="48"/>
      <x:c r="G11" s="48"/>
      <x:c r="H11" s="48"/>
      <x:c r="I11" s="48"/>
      <x:c r="J11" s="2"/>
      <x:c r="K11" s="2"/>
      <x:c r="L11" s="62"/>
      <x:c r="M11" s="62"/>
    </x:row>
    <x:row r="12" ht="23" customHeight="1">
      <x:c r="A12" s="1"/>
      <x:c r="B12" s="1"/>
      <x:c r="C12" s="2" t="str">
        <x:v>Prepayments</x:v>
      </x:c>
      <x:c r="D12" s="48"/>
      <x:c r="E12" s="48"/>
      <x:c r="F12" s="48"/>
      <x:c r="G12" s="48"/>
      <x:c r="H12" s="48"/>
      <x:c r="I12" s="48"/>
      <x:c r="J12" s="2"/>
      <x:c r="K12" s="2"/>
      <x:c r="L12" s="62"/>
      <x:c r="M12" s="62"/>
    </x:row>
    <x:row r="13" ht="23" customHeight="1">
      <x:c r="A13" s="1"/>
      <x:c r="B13" s="1"/>
      <x:c r="C13" s="2" t="str">
        <x:v>Income tax receivables</x:v>
      </x:c>
      <x:c r="D13" s="48"/>
      <x:c r="E13" s="48"/>
      <x:c r="F13" s="48"/>
      <x:c r="G13" s="48"/>
      <x:c r="H13" s="48"/>
      <x:c r="I13" s="48"/>
      <x:c r="J13" s="2"/>
      <x:c r="K13" s="2"/>
      <x:c r="L13" s="62"/>
      <x:c r="M13" s="62"/>
    </x:row>
    <x:row r="14" ht="23" customHeight="1">
      <x:c r="A14" s="1"/>
      <x:c r="B14" s="1"/>
      <x:c r="C14" s="2" t="str">
        <x:v>Current derivative assets</x:v>
      </x:c>
      <x:c r="D14" s="48"/>
      <x:c r="E14" s="48"/>
      <x:c r="F14" s="48"/>
      <x:c r="G14" s="48"/>
      <x:c r="H14" s="48"/>
      <x:c r="I14" s="48"/>
      <x:c r="J14" s="2"/>
      <x:c r="K14" s="2"/>
      <x:c r="L14" s="62"/>
      <x:c r="M14" s="62"/>
    </x:row>
    <x:row r="15" ht="23" customHeight="1">
      <x:c r="A15" s="1"/>
      <x:c r="B15" s="1"/>
      <x:c r="C15" s="2" t="str">
        <x:v>Restricted short-term deposits</x:v>
      </x:c>
      <x:c r="D15" s="48"/>
      <x:c r="E15" s="48"/>
      <x:c r="F15" s="48"/>
      <x:c r="G15" s="48"/>
      <x:c r="H15" s="48"/>
      <x:c r="I15" s="48"/>
      <x:c r="J15" s="2"/>
      <x:c r="K15" s="2"/>
      <x:c r="L15" s="62"/>
      <x:c r="M15" s="62"/>
    </x:row>
    <x:row r="16" ht="23" customHeight="1">
      <x:c r="A16" s="1"/>
      <x:c r="B16" s="1"/>
      <x:c r="C16" s="2" t="str">
        <x:v>Other current assets</x:v>
      </x:c>
      <x:c r="D16" s="48"/>
      <x:c r="E16" s="48"/>
      <x:c r="F16" s="48"/>
      <x:c r="G16" s="48"/>
      <x:c r="H16" s="48"/>
      <x:c r="I16" s="48"/>
      <x:c r="J16" s="2"/>
      <x:c r="K16" s="2"/>
      <x:c r="L16" s="62"/>
      <x:c r="M16" s="62"/>
    </x:row>
    <x:row r="17" ht="23" customHeight="1">
      <x:c r="A17" s="1"/>
      <x:c r="B17" s="1"/>
      <x:c r="C17" s="56" t="str">
        <x:v>Total current assets, reported</x:v>
      </x:c>
      <x:c r="D17" s="60"/>
      <x:c r="E17" s="60"/>
      <x:c r="F17" s="60"/>
      <x:c r="G17" s="60"/>
      <x:c r="H17" s="60"/>
      <x:c r="I17" s="60"/>
      <x:c r="J17" s="2"/>
      <x:c r="K17" s="2"/>
      <x:c r="L17" s="62"/>
      <x:c r="M17" s="62"/>
    </x:row>
    <x:row r="18" ht="25" customHeight="1">
      <x:c r="A18" s="1"/>
      <x:c r="B18" s="1"/>
      <x:c r="C18" s="34" t="str">
        <x:v>Non-current assets</x:v>
      </x:c>
      <x:c r="D18" s="34"/>
      <x:c r="E18" s="34"/>
      <x:c r="F18" s="34"/>
      <x:c r="G18" s="34"/>
      <x:c r="H18" s="34"/>
      <x:c r="I18" s="34"/>
      <x:c r="J18" s="2"/>
      <x:c r="K18" s="2"/>
      <x:c r="L18" s="62"/>
      <x:c r="M18" s="62"/>
    </x:row>
    <x:row r="19" ht="23" customHeight="1">
      <x:c r="A19" s="1"/>
      <x:c r="B19" s="1"/>
      <x:c r="C19" s="2" t="str">
        <x:v>Property, plant and equipment, net</x:v>
      </x:c>
      <x:c r="D19" s="48"/>
      <x:c r="E19" s="48"/>
      <x:c r="F19" s="48"/>
      <x:c r="G19" s="48"/>
      <x:c r="H19" s="48"/>
      <x:c r="I19" s="48"/>
      <x:c r="J19" s="2"/>
      <x:c r="K19" s="2"/>
      <x:c r="L19" s="62"/>
      <x:c r="M19" s="62"/>
    </x:row>
    <x:row r="20" ht="23" customHeight="1">
      <x:c r="A20" s="1"/>
      <x:c r="B20" s="1"/>
      <x:c r="C20" s="2" t="str">
        <x:v>Right-of-use assets</x:v>
      </x:c>
      <x:c r="D20" s="48"/>
      <x:c r="E20" s="48"/>
      <x:c r="F20" s="48"/>
      <x:c r="G20" s="48"/>
      <x:c r="H20" s="48"/>
      <x:c r="I20" s="48"/>
      <x:c r="J20" s="2"/>
      <x:c r="K20" s="2"/>
      <x:c r="L20" s="62"/>
      <x:c r="M20" s="62"/>
    </x:row>
    <x:row r="21" ht="23" customHeight="1">
      <x:c r="A21" s="1"/>
      <x:c r="B21" s="1"/>
      <x:c r="C21" s="2" t="str">
        <x:v>Goodwill</x:v>
      </x:c>
      <x:c r="D21" s="48"/>
      <x:c r="E21" s="48"/>
      <x:c r="F21" s="48"/>
      <x:c r="G21" s="48"/>
      <x:c r="H21" s="48"/>
      <x:c r="I21" s="48"/>
      <x:c r="J21" s="2"/>
      <x:c r="K21" s="2"/>
      <x:c r="L21" s="62"/>
      <x:c r="M21" s="62"/>
    </x:row>
    <x:row r="22" ht="23" customHeight="1">
      <x:c r="A22" s="1"/>
      <x:c r="B22" s="1"/>
      <x:c r="C22" s="2" t="str">
        <x:v>Other intangible assets</x:v>
      </x:c>
      <x:c r="D22" s="48"/>
      <x:c r="E22" s="48"/>
      <x:c r="F22" s="48"/>
      <x:c r="G22" s="48"/>
      <x:c r="H22" s="48"/>
      <x:c r="I22" s="48"/>
      <x:c r="J22" s="2"/>
      <x:c r="K22" s="2"/>
      <x:c r="L22" s="62"/>
      <x:c r="M22" s="62"/>
    </x:row>
    <x:row r="23" ht="23" customHeight="1">
      <x:c r="A23" s="1"/>
      <x:c r="B23" s="1"/>
      <x:c r="C23" s="2" t="str">
        <x:v>Investments in associates and joint ventures</x:v>
      </x:c>
      <x:c r="D23" s="48"/>
      <x:c r="E23" s="48"/>
      <x:c r="F23" s="48"/>
      <x:c r="G23" s="48"/>
      <x:c r="H23" s="48"/>
      <x:c r="I23" s="48"/>
      <x:c r="J23" s="2"/>
      <x:c r="K23" s="2"/>
      <x:c r="L23" s="62"/>
      <x:c r="M23" s="62"/>
    </x:row>
    <x:row r="24" ht="23" customHeight="1">
      <x:c r="A24" s="1"/>
      <x:c r="B24" s="1"/>
      <x:c r="C24" s="2" t="str">
        <x:v>Investments in subsidiaries</x:v>
      </x:c>
      <x:c r="D24" s="48"/>
      <x:c r="E24" s="48"/>
      <x:c r="F24" s="48"/>
      <x:c r="G24" s="48"/>
      <x:c r="H24" s="48"/>
      <x:c r="I24" s="48"/>
      <x:c r="J24" s="2"/>
      <x:c r="K24" s="2"/>
      <x:c r="L24" s="62"/>
      <x:c r="M24" s="62"/>
    </x:row>
    <x:row r="25" ht="23" customHeight="1">
      <x:c r="A25" s="1"/>
      <x:c r="B25" s="1"/>
      <x:c r="C25" s="2" t="str">
        <x:v>Other non-current financial assets</x:v>
      </x:c>
      <x:c r="D25" s="48"/>
      <x:c r="E25" s="48"/>
      <x:c r="F25" s="48"/>
      <x:c r="G25" s="48"/>
      <x:c r="H25" s="48"/>
      <x:c r="I25" s="48"/>
      <x:c r="J25" s="2"/>
      <x:c r="K25" s="2"/>
      <x:c r="L25" s="62"/>
      <x:c r="M25" s="62"/>
    </x:row>
    <x:row r="26" ht="23" customHeight="1">
      <x:c r="A26" s="1"/>
      <x:c r="B26" s="1"/>
      <x:c r="C26" s="2" t="str">
        <x:v>Deferred tax assets</x:v>
      </x:c>
      <x:c r="D26" s="48"/>
      <x:c r="E26" s="48"/>
      <x:c r="F26" s="48"/>
      <x:c r="G26" s="48"/>
      <x:c r="H26" s="48"/>
      <x:c r="I26" s="48"/>
      <x:c r="J26" s="2"/>
      <x:c r="K26" s="2"/>
      <x:c r="L26" s="62"/>
      <x:c r="M26" s="62"/>
    </x:row>
    <x:row r="27" ht="23" customHeight="1">
      <x:c r="A27" s="1"/>
      <x:c r="B27" s="1"/>
      <x:c r="C27" s="2" t="str">
        <x:v>Other non-current assets</x:v>
      </x:c>
      <x:c r="D27" s="48"/>
      <x:c r="E27" s="48"/>
      <x:c r="F27" s="48"/>
      <x:c r="G27" s="48"/>
      <x:c r="H27" s="48"/>
      <x:c r="I27" s="48"/>
      <x:c r="J27" s="2"/>
      <x:c r="K27" s="2"/>
      <x:c r="L27" s="62"/>
      <x:c r="M27" s="62"/>
    </x:row>
    <x:row r="28" ht="23" customHeight="1">
      <x:c r="A28" s="1"/>
      <x:c r="B28" s="1"/>
      <x:c r="C28" s="56" t="str">
        <x:v>Total non-current assets, reported</x:v>
      </x:c>
      <x:c r="D28" s="60"/>
      <x:c r="E28" s="60"/>
      <x:c r="F28" s="60"/>
      <x:c r="G28" s="60"/>
      <x:c r="H28" s="60"/>
      <x:c r="I28" s="60"/>
      <x:c r="J28" s="2"/>
      <x:c r="K28" s="2"/>
      <x:c r="L28" s="62"/>
      <x:c r="M28" s="62"/>
    </x:row>
    <x:row r="29" ht="23" customHeight="1">
      <x:c r="A29" s="1"/>
      <x:c r="B29" s="1"/>
      <x:c r="C29" s="56" t="str">
        <x:v>Total assets, reported</x:v>
      </x:c>
      <x:c r="D29" s="60"/>
      <x:c r="E29" s="60"/>
      <x:c r="F29" s="60"/>
      <x:c r="G29" s="60"/>
      <x:c r="H29" s="60"/>
      <x:c r="I29" s="60"/>
      <x:c r="J29" s="2"/>
      <x:c r="K29" s="2"/>
      <x:c r="L29" s="62"/>
      <x:c r="M29" s="62"/>
    </x:row>
    <x:row r="30" ht="25" customHeight="1">
      <x:c r="A30" s="1"/>
      <x:c r="B30" s="1"/>
      <x:c r="C30" s="34" t="str">
        <x:v>Current liabilities</x:v>
      </x:c>
      <x:c r="D30" s="34"/>
      <x:c r="E30" s="34"/>
      <x:c r="F30" s="34"/>
      <x:c r="G30" s="34"/>
      <x:c r="H30" s="34"/>
      <x:c r="I30" s="34"/>
      <x:c r="J30" s="2"/>
      <x:c r="K30" s="2"/>
      <x:c r="L30" s="62"/>
      <x:c r="M30" s="62"/>
    </x:row>
    <x:row r="31" ht="23" customHeight="1">
      <x:c r="A31" s="1"/>
      <x:c r="B31" s="1"/>
      <x:c r="C31" s="2" t="str">
        <x:v>Trade payables only</x:v>
      </x:c>
      <x:c r="D31" s="48"/>
      <x:c r="E31" s="48"/>
      <x:c r="F31" s="48"/>
      <x:c r="G31" s="48"/>
      <x:c r="H31" s="48"/>
      <x:c r="I31" s="48"/>
      <x:c r="J31" s="2"/>
      <x:c r="K31" s="2"/>
      <x:c r="L31" s="62"/>
      <x:c r="M31" s="62"/>
    </x:row>
    <x:row r="32" ht="23" customHeight="1">
      <x:c r="A32" s="1"/>
      <x:c r="B32" s="1"/>
      <x:c r="C32" s="2" t="str">
        <x:v>Short-term borrowings and current maturities</x:v>
      </x:c>
      <x:c r="D32" s="48"/>
      <x:c r="E32" s="48"/>
      <x:c r="F32" s="48"/>
      <x:c r="G32" s="48"/>
      <x:c r="H32" s="48"/>
      <x:c r="I32" s="48"/>
      <x:c r="J32" s="2"/>
      <x:c r="K32" s="2"/>
      <x:c r="L32" s="62"/>
      <x:c r="M32" s="62"/>
    </x:row>
    <x:row r="33" ht="23" customHeight="1">
      <x:c r="A33" s="1"/>
      <x:c r="B33" s="1"/>
      <x:c r="C33" s="2" t="str">
        <x:v>Current lease liabilities</x:v>
      </x:c>
      <x:c r="D33" s="48"/>
      <x:c r="E33" s="48"/>
      <x:c r="F33" s="48"/>
      <x:c r="G33" s="48"/>
      <x:c r="H33" s="48"/>
      <x:c r="I33" s="48"/>
      <x:c r="J33" s="2"/>
      <x:c r="K33" s="2"/>
      <x:c r="L33" s="62"/>
      <x:c r="M33" s="62"/>
    </x:row>
    <x:row r="34" ht="23" customHeight="1">
      <x:c r="A34" s="1"/>
      <x:c r="B34" s="1"/>
      <x:c r="C34" s="2" t="str">
        <x:v>Income taxes payable</x:v>
      </x:c>
      <x:c r="D34" s="48"/>
      <x:c r="E34" s="48"/>
      <x:c r="F34" s="48"/>
      <x:c r="G34" s="48"/>
      <x:c r="H34" s="48"/>
      <x:c r="I34" s="48"/>
      <x:c r="J34" s="2"/>
      <x:c r="K34" s="2"/>
      <x:c r="L34" s="62"/>
      <x:c r="M34" s="62"/>
    </x:row>
    <x:row r="35" ht="23" customHeight="1">
      <x:c r="A35" s="1"/>
      <x:c r="B35" s="1"/>
      <x:c r="C35" s="2" t="str">
        <x:v>Current provisions</x:v>
      </x:c>
      <x:c r="D35" s="48"/>
      <x:c r="E35" s="48"/>
      <x:c r="F35" s="48"/>
      <x:c r="G35" s="48"/>
      <x:c r="H35" s="48"/>
      <x:c r="I35" s="48"/>
      <x:c r="J35" s="2"/>
      <x:c r="K35" s="2"/>
      <x:c r="L35" s="62"/>
      <x:c r="M35" s="62"/>
    </x:row>
    <x:row r="36" ht="23" customHeight="1">
      <x:c r="A36" s="1"/>
      <x:c r="B36" s="1"/>
      <x:c r="C36" s="2" t="str">
        <x:v>Other current liabilities</x:v>
      </x:c>
      <x:c r="D36" s="48"/>
      <x:c r="E36" s="48"/>
      <x:c r="F36" s="48"/>
      <x:c r="G36" s="48"/>
      <x:c r="H36" s="48"/>
      <x:c r="I36" s="48"/>
      <x:c r="J36" s="2"/>
      <x:c r="K36" s="2"/>
      <x:c r="L36" s="62"/>
      <x:c r="M36" s="62"/>
    </x:row>
    <x:row r="37" ht="23" customHeight="1">
      <x:c r="A37" s="1"/>
      <x:c r="B37" s="1"/>
      <x:c r="C37" s="56" t="str">
        <x:v>Total current liabilities, reported</x:v>
      </x:c>
      <x:c r="D37" s="60"/>
      <x:c r="E37" s="60"/>
      <x:c r="F37" s="60"/>
      <x:c r="G37" s="60"/>
      <x:c r="H37" s="60"/>
      <x:c r="I37" s="60"/>
      <x:c r="J37" s="2"/>
      <x:c r="K37" s="2"/>
      <x:c r="L37" s="62"/>
      <x:c r="M37" s="62"/>
    </x:row>
    <x:row r="38" ht="25" customHeight="1">
      <x:c r="A38" s="1"/>
      <x:c r="B38" s="1"/>
      <x:c r="C38" s="34" t="str">
        <x:v>Non-current liabilities</x:v>
      </x:c>
      <x:c r="D38" s="34"/>
      <x:c r="E38" s="34"/>
      <x:c r="F38" s="34"/>
      <x:c r="G38" s="34"/>
      <x:c r="H38" s="34"/>
      <x:c r="I38" s="34"/>
      <x:c r="J38" s="2"/>
      <x:c r="K38" s="2"/>
      <x:c r="L38" s="62"/>
      <x:c r="M38" s="62"/>
    </x:row>
    <x:row r="39" ht="23" customHeight="1">
      <x:c r="A39" s="1"/>
      <x:c r="B39" s="1"/>
      <x:c r="C39" s="2" t="str">
        <x:v>Long-term borrowings</x:v>
      </x:c>
      <x:c r="D39" s="48"/>
      <x:c r="E39" s="48"/>
      <x:c r="F39" s="48"/>
      <x:c r="G39" s="48"/>
      <x:c r="H39" s="48"/>
      <x:c r="I39" s="48"/>
      <x:c r="J39" s="2"/>
      <x:c r="K39" s="2"/>
      <x:c r="L39" s="62"/>
      <x:c r="M39" s="62"/>
    </x:row>
    <x:row r="40" ht="23" customHeight="1">
      <x:c r="A40" s="1"/>
      <x:c r="B40" s="1"/>
      <x:c r="C40" s="2" t="str">
        <x:v>Non-current lease liabilities</x:v>
      </x:c>
      <x:c r="D40" s="48"/>
      <x:c r="E40" s="48"/>
      <x:c r="F40" s="48"/>
      <x:c r="G40" s="48"/>
      <x:c r="H40" s="48"/>
      <x:c r="I40" s="48"/>
      <x:c r="J40" s="2"/>
      <x:c r="K40" s="2"/>
      <x:c r="L40" s="62"/>
      <x:c r="M40" s="62"/>
    </x:row>
    <x:row r="41" ht="23" customHeight="1">
      <x:c r="A41" s="1"/>
      <x:c r="B41" s="1"/>
      <x:c r="C41" s="2" t="str">
        <x:v>Employee benefit obligations</x:v>
      </x:c>
      <x:c r="D41" s="48"/>
      <x:c r="E41" s="48"/>
      <x:c r="F41" s="48"/>
      <x:c r="G41" s="48"/>
      <x:c r="H41" s="48"/>
      <x:c r="I41" s="48"/>
      <x:c r="J41" s="2"/>
      <x:c r="K41" s="2"/>
      <x:c r="L41" s="62"/>
      <x:c r="M41" s="62"/>
    </x:row>
    <x:row r="42" ht="23" customHeight="1">
      <x:c r="A42" s="1"/>
      <x:c r="B42" s="1"/>
      <x:c r="C42" s="2" t="str">
        <x:v>Deferred tax liabilities</x:v>
      </x:c>
      <x:c r="D42" s="48"/>
      <x:c r="E42" s="48"/>
      <x:c r="F42" s="48"/>
      <x:c r="G42" s="48"/>
      <x:c r="H42" s="48"/>
      <x:c r="I42" s="48"/>
      <x:c r="J42" s="2"/>
      <x:c r="K42" s="2"/>
      <x:c r="L42" s="62"/>
      <x:c r="M42" s="62"/>
    </x:row>
    <x:row r="43" ht="23" customHeight="1">
      <x:c r="A43" s="1"/>
      <x:c r="B43" s="1"/>
      <x:c r="C43" s="2" t="str">
        <x:v>Other non-current liabilities</x:v>
      </x:c>
      <x:c r="D43" s="48"/>
      <x:c r="E43" s="48"/>
      <x:c r="F43" s="48"/>
      <x:c r="G43" s="48"/>
      <x:c r="H43" s="48"/>
      <x:c r="I43" s="48"/>
      <x:c r="J43" s="2"/>
      <x:c r="K43" s="2"/>
      <x:c r="L43" s="62"/>
      <x:c r="M43" s="62"/>
    </x:row>
    <x:row r="44" ht="23" customHeight="1">
      <x:c r="A44" s="1"/>
      <x:c r="B44" s="1"/>
      <x:c r="C44" s="56" t="str">
        <x:v>Total non-current liabilities, reported</x:v>
      </x:c>
      <x:c r="D44" s="60"/>
      <x:c r="E44" s="60"/>
      <x:c r="F44" s="60"/>
      <x:c r="G44" s="60"/>
      <x:c r="H44" s="60"/>
      <x:c r="I44" s="60"/>
      <x:c r="J44" s="2"/>
      <x:c r="K44" s="2"/>
      <x:c r="L44" s="62"/>
      <x:c r="M44" s="62"/>
    </x:row>
    <x:row r="45" ht="23" customHeight="1">
      <x:c r="A45" s="1"/>
      <x:c r="B45" s="1"/>
      <x:c r="C45" s="56" t="str">
        <x:v>Total liabilities, reported</x:v>
      </x:c>
      <x:c r="D45" s="60"/>
      <x:c r="E45" s="60"/>
      <x:c r="F45" s="60"/>
      <x:c r="G45" s="60"/>
      <x:c r="H45" s="60"/>
      <x:c r="I45" s="60"/>
      <x:c r="J45" s="2"/>
      <x:c r="K45" s="2"/>
      <x:c r="L45" s="62"/>
      <x:c r="M45" s="62"/>
    </x:row>
    <x:row r="46" ht="25" customHeight="1">
      <x:c r="A46" s="1"/>
      <x:c r="B46" s="1"/>
      <x:c r="C46" s="34" t="str">
        <x:v>Equity</x:v>
      </x:c>
      <x:c r="D46" s="34"/>
      <x:c r="E46" s="34"/>
      <x:c r="F46" s="34"/>
      <x:c r="G46" s="34"/>
      <x:c r="H46" s="34"/>
      <x:c r="I46" s="34"/>
      <x:c r="J46" s="2"/>
      <x:c r="K46" s="2"/>
      <x:c r="L46" s="62"/>
      <x:c r="M46" s="62"/>
    </x:row>
    <x:row r="47" ht="23" customHeight="1">
      <x:c r="A47" s="1"/>
      <x:c r="B47" s="1"/>
      <x:c r="C47" s="2" t="str">
        <x:v>Share capital and share premium</x:v>
      </x:c>
      <x:c r="D47" s="48"/>
      <x:c r="E47" s="48"/>
      <x:c r="F47" s="48"/>
      <x:c r="G47" s="48"/>
      <x:c r="H47" s="48"/>
      <x:c r="I47" s="48"/>
      <x:c r="J47" s="2"/>
      <x:c r="K47" s="2"/>
      <x:c r="L47" s="62"/>
      <x:c r="M47" s="62"/>
    </x:row>
    <x:row r="48" ht="23" customHeight="1">
      <x:c r="A48" s="1"/>
      <x:c r="B48" s="1"/>
      <x:c r="C48" s="2" t="str">
        <x:v>Reserves and treasury shares, net</x:v>
      </x:c>
      <x:c r="D48" s="48"/>
      <x:c r="E48" s="48"/>
      <x:c r="F48" s="48"/>
      <x:c r="G48" s="48"/>
      <x:c r="H48" s="48"/>
      <x:c r="I48" s="48"/>
      <x:c r="J48" s="2"/>
      <x:c r="K48" s="2"/>
      <x:c r="L48" s="62"/>
      <x:c r="M48" s="62"/>
    </x:row>
    <x:row r="49" ht="23" customHeight="1">
      <x:c r="A49" s="1"/>
      <x:c r="B49" s="1"/>
      <x:c r="C49" s="2" t="str">
        <x:v>Retained earnings</x:v>
      </x:c>
      <x:c r="D49" s="48"/>
      <x:c r="E49" s="48"/>
      <x:c r="F49" s="48"/>
      <x:c r="G49" s="48"/>
      <x:c r="H49" s="48"/>
      <x:c r="I49" s="48"/>
      <x:c r="J49" s="2"/>
      <x:c r="K49" s="2"/>
      <x:c r="L49" s="62"/>
      <x:c r="M49" s="62"/>
    </x:row>
    <x:row r="50" ht="23" customHeight="1">
      <x:c r="A50" s="1"/>
      <x:c r="B50" s="1"/>
      <x:c r="C50" s="2" t="str">
        <x:v>Equity attributable to parent owners</x:v>
      </x:c>
      <x:c r="D50" s="48"/>
      <x:c r="E50" s="48"/>
      <x:c r="F50" s="48"/>
      <x:c r="G50" s="48"/>
      <x:c r="H50" s="48"/>
      <x:c r="I50" s="48"/>
      <x:c r="J50" s="2"/>
      <x:c r="K50" s="2"/>
      <x:c r="L50" s="62"/>
      <x:c r="M50" s="62"/>
    </x:row>
    <x:row r="51" ht="23" customHeight="1">
      <x:c r="A51" s="1"/>
      <x:c r="B51" s="1"/>
      <x:c r="C51" s="2" t="str">
        <x:v>Non-controlling interests</x:v>
      </x:c>
      <x:c r="D51" s="48"/>
      <x:c r="E51" s="48"/>
      <x:c r="F51" s="48"/>
      <x:c r="G51" s="48"/>
      <x:c r="H51" s="48"/>
      <x:c r="I51" s="48"/>
      <x:c r="J51" s="2"/>
      <x:c r="K51" s="2"/>
      <x:c r="L51" s="62"/>
      <x:c r="M51" s="62"/>
    </x:row>
    <x:row r="52" ht="23" customHeight="1">
      <x:c r="A52" s="1"/>
      <x:c r="B52" s="1"/>
      <x:c r="C52" s="56" t="str">
        <x:v>Total equity, reported</x:v>
      </x:c>
      <x:c r="D52" s="60"/>
      <x:c r="E52" s="60"/>
      <x:c r="F52" s="60"/>
      <x:c r="G52" s="60"/>
      <x:c r="H52" s="60"/>
      <x:c r="I52" s="60"/>
      <x:c r="J52" s="2"/>
      <x:c r="K52" s="2"/>
      <x:c r="L52" s="62"/>
      <x:c r="M52" s="62"/>
    </x:row>
    <x:row r="53" ht="23" customHeight="1">
      <x:c r="A53" s="1"/>
      <x:c r="B53" s="1"/>
      <x:c r="C53" s="2" t="str">
        <x:v>Preferred equity included in parent equity</x:v>
      </x:c>
      <x:c r="D53" s="48"/>
      <x:c r="E53" s="48"/>
      <x:c r="F53" s="48"/>
      <x:c r="G53" s="48"/>
      <x:c r="H53" s="48"/>
      <x:c r="I53" s="48"/>
      <x:c r="J53" s="2"/>
      <x:c r="K53" s="2"/>
      <x:c r="L53" s="62"/>
      <x:c r="M53" s="62"/>
    </x:row>
    <x:row r="54" ht="23" customHeight="1">
      <x:c r="A54" s="1"/>
      <x:c r="B54" s="1"/>
      <x:c r="C54" s="2" t="str">
        <x:v>Past-due liabilities, optional</x:v>
      </x:c>
      <x:c r="D54" s="48"/>
      <x:c r="E54" s="48"/>
      <x:c r="F54" s="48"/>
      <x:c r="G54" s="48"/>
      <x:c r="H54" s="48"/>
      <x:c r="I54" s="48"/>
      <x:c r="J54" s="2"/>
      <x:c r="K54" s="2"/>
      <x:c r="L54" s="62"/>
      <x:c r="M54" s="62"/>
    </x:row>
    <x:row r="55" ht="23" customHeight="1">
      <x:c r="A55" s="1"/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62"/>
      <x:c r="M55" s="62"/>
    </x:row>
    <x:row r="56" ht="23" customHeight="1">
      <x:c r="A56" s="1"/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62"/>
      <x:c r="M56" s="62"/>
    </x:row>
    <x:row r="57" ht="23" customHeight="1">
      <x:c r="A57" s="1"/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62"/>
      <x:c r="M57" s="62"/>
    </x:row>
    <x:row r="59">
      <x:c r="C59" t="str">
        <x:v>Annual report title / fiscal year</x:v>
      </x:c>
      <x:c r="D59" s="64"/>
      <x:c r="E59" s="64"/>
      <x:c r="F59" s="64"/>
      <x:c r="G59" s="64"/>
      <x:c r="H59" s="64"/>
      <x:c r="I59" s="64"/>
    </x:row>
    <x:row r="60">
      <x:c r="C60" t="str">
        <x:v>Report URL</x:v>
      </x:c>
      <x:c r="D60" s="64"/>
      <x:c r="E60" s="64"/>
      <x:c r="F60" s="64"/>
      <x:c r="G60" s="64"/>
      <x:c r="H60" s="64"/>
      <x:c r="I60" s="64"/>
    </x:row>
    <x:row r="61">
      <x:c r="C61" t="str">
        <x:v>Statement page / note</x:v>
      </x:c>
      <x:c r="D61" s="64"/>
      <x:c r="E61" s="64"/>
      <x:c r="F61" s="64"/>
      <x:c r="G61" s="64"/>
      <x:c r="H61" s="64"/>
      <x:c r="I61" s="64"/>
    </x:row>
    <x:row r="62">
      <x:c r="C62" t="str">
        <x:v>Reporting date (enter as date)</x:v>
      </x:c>
      <x:c r="D62" s="64"/>
      <x:c r="E62" s="64"/>
      <x:c r="F62" s="64"/>
      <x:c r="G62" s="64"/>
      <x:c r="H62" s="64"/>
      <x:c r="I62" s="64"/>
    </x:row>
    <x:row r="63">
      <x:c r="C63" t="str">
        <x:v>Restatements / reclassifications</x:v>
      </x:c>
      <x:c r="D63" s="64"/>
      <x:c r="E63" s="64"/>
      <x:c r="F63" s="64"/>
      <x:c r="G63" s="64"/>
      <x:c r="H63" s="64"/>
      <x:c r="I63" s="64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Income Statement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Expenses positive; income, losses and adjustments keep their economic sign.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 t="str">
        <x:v>One source per year: use the report fields below the statement.</x:v>
      </x:c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 t="str">
        <x:v>Mapping / annual-report line</x:v>
      </x:c>
      <x:c r="L5" s="2" t="str">
        <x:v>Report / page</x:v>
      </x:c>
      <x:c r="M5" s="2" t="str">
        <x:v>URL / source note</x:v>
      </x:c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Operating results</x:v>
      </x:c>
      <x:c r="D7" s="34"/>
      <x:c r="E7" s="34"/>
      <x:c r="F7" s="34"/>
      <x:c r="G7" s="34"/>
      <x:c r="H7" s="34"/>
      <x:c r="I7" s="34"/>
      <x:c r="J7" s="2"/>
      <x:c r="K7" s="2"/>
      <x:c r="L7" s="62"/>
      <x:c r="M7" s="62"/>
    </x:row>
    <x:row r="8" ht="23" customHeight="1">
      <x:c r="A8" s="1"/>
      <x:c r="B8" s="1"/>
      <x:c r="C8" s="2" t="str">
        <x:v>Revenue</x:v>
      </x:c>
      <x:c r="D8" s="48"/>
      <x:c r="E8" s="48"/>
      <x:c r="F8" s="48"/>
      <x:c r="G8" s="48"/>
      <x:c r="H8" s="48"/>
      <x:c r="I8" s="48"/>
      <x:c r="J8" s="2"/>
      <x:c r="K8" s="2"/>
      <x:c r="L8" s="62"/>
      <x:c r="M8" s="62"/>
    </x:row>
    <x:row r="9" ht="23" customHeight="1">
      <x:c r="A9" s="1"/>
      <x:c r="B9" s="1"/>
      <x:c r="C9" s="2" t="str">
        <x:v>Cost of sales</x:v>
      </x:c>
      <x:c r="D9" s="48"/>
      <x:c r="E9" s="48"/>
      <x:c r="F9" s="48"/>
      <x:c r="G9" s="48"/>
      <x:c r="H9" s="48"/>
      <x:c r="I9" s="48"/>
      <x:c r="J9" s="2"/>
      <x:c r="K9" s="2"/>
      <x:c r="L9" s="62"/>
      <x:c r="M9" s="62"/>
    </x:row>
    <x:row r="10" ht="23" customHeight="1">
      <x:c r="A10" s="1"/>
      <x:c r="B10" s="1"/>
      <x:c r="C10" s="56" t="str">
        <x:v>Gross profit, reported</x:v>
      </x:c>
      <x:c r="D10" s="60"/>
      <x:c r="E10" s="60"/>
      <x:c r="F10" s="60"/>
      <x:c r="G10" s="60"/>
      <x:c r="H10" s="60"/>
      <x:c r="I10" s="60"/>
      <x:c r="J10" s="2"/>
      <x:c r="K10" s="2"/>
      <x:c r="L10" s="62"/>
      <x:c r="M10" s="62"/>
    </x:row>
    <x:row r="11" ht="23" customHeight="1">
      <x:c r="A11" s="1"/>
      <x:c r="B11" s="1"/>
      <x:c r="C11" s="2" t="str">
        <x:v>Selling and distribution expenses</x:v>
      </x:c>
      <x:c r="D11" s="48"/>
      <x:c r="E11" s="48"/>
      <x:c r="F11" s="48"/>
      <x:c r="G11" s="48"/>
      <x:c r="H11" s="48"/>
      <x:c r="I11" s="48"/>
      <x:c r="J11" s="2"/>
      <x:c r="K11" s="2"/>
      <x:c r="L11" s="62"/>
      <x:c r="M11" s="62"/>
    </x:row>
    <x:row r="12" ht="23" customHeight="1">
      <x:c r="A12" s="1"/>
      <x:c r="B12" s="1"/>
      <x:c r="C12" s="2" t="str">
        <x:v>Administrative expenses</x:v>
      </x:c>
      <x:c r="D12" s="48"/>
      <x:c r="E12" s="48"/>
      <x:c r="F12" s="48"/>
      <x:c r="G12" s="48"/>
      <x:c r="H12" s="48"/>
      <x:c r="I12" s="48"/>
      <x:c r="J12" s="2"/>
      <x:c r="K12" s="2"/>
      <x:c r="L12" s="62"/>
      <x:c r="M12" s="62"/>
    </x:row>
    <x:row r="13" ht="23" customHeight="1">
      <x:c r="A13" s="1"/>
      <x:c r="B13" s="1"/>
      <x:c r="C13" s="2" t="str">
        <x:v>Research and development expense</x:v>
      </x:c>
      <x:c r="D13" s="48"/>
      <x:c r="E13" s="48"/>
      <x:c r="F13" s="48"/>
      <x:c r="G13" s="48"/>
      <x:c r="H13" s="48"/>
      <x:c r="I13" s="48"/>
      <x:c r="J13" s="2"/>
      <x:c r="K13" s="2"/>
      <x:c r="L13" s="62"/>
      <x:c r="M13" s="62"/>
    </x:row>
    <x:row r="14" ht="23" customHeight="1">
      <x:c r="A14" s="1"/>
      <x:c r="B14" s="1"/>
      <x:c r="C14" s="2" t="str">
        <x:v>Other operating expenses</x:v>
      </x:c>
      <x:c r="D14" s="48"/>
      <x:c r="E14" s="48"/>
      <x:c r="F14" s="48"/>
      <x:c r="G14" s="48"/>
      <x:c r="H14" s="48"/>
      <x:c r="I14" s="48"/>
      <x:c r="J14" s="2"/>
      <x:c r="K14" s="2"/>
      <x:c r="L14" s="62"/>
      <x:c r="M14" s="62"/>
    </x:row>
    <x:row r="15" ht="23" customHeight="1">
      <x:c r="A15" s="1"/>
      <x:c r="B15" s="1"/>
      <x:c r="C15" s="2" t="str">
        <x:v>Other operating income and gains, net</x:v>
      </x:c>
      <x:c r="D15" s="48"/>
      <x:c r="E15" s="48"/>
      <x:c r="F15" s="48"/>
      <x:c r="G15" s="48"/>
      <x:c r="H15" s="48"/>
      <x:c r="I15" s="48"/>
      <x:c r="J15" s="2"/>
      <x:c r="K15" s="2"/>
      <x:c r="L15" s="62"/>
      <x:c r="M15" s="62"/>
    </x:row>
    <x:row r="16" ht="23" customHeight="1">
      <x:c r="A16" s="1"/>
      <x:c r="B16" s="1"/>
      <x:c r="C16" s="56" t="str">
        <x:v>Operating profit (EBIT), reported</x:v>
      </x:c>
      <x:c r="D16" s="60"/>
      <x:c r="E16" s="60"/>
      <x:c r="F16" s="60"/>
      <x:c r="G16" s="60"/>
      <x:c r="H16" s="60"/>
      <x:c r="I16" s="60"/>
      <x:c r="J16" s="2"/>
      <x:c r="K16" s="2"/>
      <x:c r="L16" s="62"/>
      <x:c r="M16" s="62"/>
    </x:row>
    <x:row r="17" ht="23" customHeight="1">
      <x:c r="A17" s="1"/>
      <x:c r="B17" s="1"/>
      <x:c r="C17" s="56" t="str">
        <x:v>Total depreciation and amortisation</x:v>
      </x:c>
      <x:c r="D17" s="60"/>
      <x:c r="E17" s="60"/>
      <x:c r="F17" s="60"/>
      <x:c r="G17" s="60"/>
      <x:c r="H17" s="60"/>
      <x:c r="I17" s="60"/>
      <x:c r="J17" s="2"/>
      <x:c r="K17" s="2"/>
      <x:c r="L17" s="62"/>
      <x:c r="M17" s="62"/>
    </x:row>
    <x:row r="18" ht="23" customHeight="1">
      <x:c r="A18" s="1"/>
      <x:c r="B18" s="1"/>
      <x:c r="C18" s="56" t="str">
        <x:v>EBITDA, reported (optional control)</x:v>
      </x:c>
      <x:c r="D18" s="60"/>
      <x:c r="E18" s="60"/>
      <x:c r="F18" s="60"/>
      <x:c r="G18" s="60"/>
      <x:c r="H18" s="60"/>
      <x:c r="I18" s="60"/>
      <x:c r="J18" s="2"/>
      <x:c r="K18" s="2"/>
      <x:c r="L18" s="62"/>
      <x:c r="M18" s="62"/>
    </x:row>
    <x:row r="19" ht="25" customHeight="1">
      <x:c r="A19" s="1"/>
      <x:c r="B19" s="1"/>
      <x:c r="C19" s="34" t="str">
        <x:v>Profit and attribution</x:v>
      </x:c>
      <x:c r="D19" s="34"/>
      <x:c r="E19" s="34"/>
      <x:c r="F19" s="34"/>
      <x:c r="G19" s="34"/>
      <x:c r="H19" s="34"/>
      <x:c r="I19" s="34"/>
      <x:c r="J19" s="2"/>
      <x:c r="K19" s="2"/>
      <x:c r="L19" s="62"/>
      <x:c r="M19" s="62"/>
    </x:row>
    <x:row r="20" ht="23" customHeight="1">
      <x:c r="A20" s="1"/>
      <x:c r="B20" s="1"/>
      <x:c r="C20" s="2" t="str">
        <x:v>Finance income</x:v>
      </x:c>
      <x:c r="D20" s="48"/>
      <x:c r="E20" s="48"/>
      <x:c r="F20" s="48"/>
      <x:c r="G20" s="48"/>
      <x:c r="H20" s="48"/>
      <x:c r="I20" s="48"/>
      <x:c r="J20" s="2"/>
      <x:c r="K20" s="2"/>
      <x:c r="L20" s="62"/>
      <x:c r="M20" s="62"/>
    </x:row>
    <x:row r="21" ht="23" customHeight="1">
      <x:c r="A21" s="1"/>
      <x:c r="B21" s="1"/>
      <x:c r="C21" s="2" t="str">
        <x:v>Finance costs, total</x:v>
      </x:c>
      <x:c r="D21" s="48"/>
      <x:c r="E21" s="48"/>
      <x:c r="F21" s="48"/>
      <x:c r="G21" s="48"/>
      <x:c r="H21" s="48"/>
      <x:c r="I21" s="48"/>
      <x:c r="J21" s="2"/>
      <x:c r="K21" s="2"/>
      <x:c r="L21" s="62"/>
      <x:c r="M21" s="62"/>
    </x:row>
    <x:row r="22" ht="23" customHeight="1">
      <x:c r="A22" s="1"/>
      <x:c r="B22" s="1"/>
      <x:c r="C22" s="2" t="str">
        <x:v>Interest expense within finance costs</x:v>
      </x:c>
      <x:c r="D22" s="48"/>
      <x:c r="E22" s="48"/>
      <x:c r="F22" s="48"/>
      <x:c r="G22" s="48"/>
      <x:c r="H22" s="48"/>
      <x:c r="I22" s="48"/>
      <x:c r="J22" s="2"/>
      <x:c r="K22" s="2"/>
      <x:c r="L22" s="62"/>
      <x:c r="M22" s="62"/>
    </x:row>
    <x:row r="23" ht="23" customHeight="1">
      <x:c r="A23" s="1"/>
      <x:c r="B23" s="1"/>
      <x:c r="C23" s="2" t="str">
        <x:v>Share of associates profit or loss</x:v>
      </x:c>
      <x:c r="D23" s="48"/>
      <x:c r="E23" s="48"/>
      <x:c r="F23" s="48"/>
      <x:c r="G23" s="48"/>
      <x:c r="H23" s="48"/>
      <x:c r="I23" s="48"/>
      <x:c r="J23" s="2"/>
      <x:c r="K23" s="2"/>
      <x:c r="L23" s="62"/>
      <x:c r="M23" s="62"/>
    </x:row>
    <x:row r="24" ht="23" customHeight="1">
      <x:c r="A24" s="1"/>
      <x:c r="B24" s="1"/>
      <x:c r="C24" s="2" t="str">
        <x:v>Other non-operating gains or losses</x:v>
      </x:c>
      <x:c r="D24" s="48"/>
      <x:c r="E24" s="48"/>
      <x:c r="F24" s="48"/>
      <x:c r="G24" s="48"/>
      <x:c r="H24" s="48"/>
      <x:c r="I24" s="48"/>
      <x:c r="J24" s="2"/>
      <x:c r="K24" s="2"/>
      <x:c r="L24" s="62"/>
      <x:c r="M24" s="62"/>
    </x:row>
    <x:row r="25" ht="23" customHeight="1">
      <x:c r="A25" s="1"/>
      <x:c r="B25" s="1"/>
      <x:c r="C25" s="56" t="str">
        <x:v>Profit before tax, reported</x:v>
      </x:c>
      <x:c r="D25" s="60"/>
      <x:c r="E25" s="60"/>
      <x:c r="F25" s="60"/>
      <x:c r="G25" s="60"/>
      <x:c r="H25" s="60"/>
      <x:c r="I25" s="60"/>
      <x:c r="J25" s="2"/>
      <x:c r="K25" s="2"/>
      <x:c r="L25" s="62"/>
      <x:c r="M25" s="62"/>
    </x:row>
    <x:row r="26" ht="23" customHeight="1">
      <x:c r="A26" s="1"/>
      <x:c r="B26" s="1"/>
      <x:c r="C26" s="2" t="str">
        <x:v>Income tax expense (benefit negative)</x:v>
      </x:c>
      <x:c r="D26" s="48"/>
      <x:c r="E26" s="48"/>
      <x:c r="F26" s="48"/>
      <x:c r="G26" s="48"/>
      <x:c r="H26" s="48"/>
      <x:c r="I26" s="48"/>
      <x:c r="J26" s="2"/>
      <x:c r="K26" s="2"/>
      <x:c r="L26" s="62"/>
      <x:c r="M26" s="62"/>
    </x:row>
    <x:row r="27" ht="23" customHeight="1">
      <x:c r="A27" s="1"/>
      <x:c r="B27" s="1"/>
      <x:c r="C27" s="2" t="str">
        <x:v>Profit from discontinued operations after tax</x:v>
      </x:c>
      <x:c r="D27" s="48"/>
      <x:c r="E27" s="48"/>
      <x:c r="F27" s="48"/>
      <x:c r="G27" s="48"/>
      <x:c r="H27" s="48"/>
      <x:c r="I27" s="48"/>
      <x:c r="J27" s="2"/>
      <x:c r="K27" s="2"/>
      <x:c r="L27" s="62"/>
      <x:c r="M27" s="62"/>
    </x:row>
    <x:row r="28" ht="23" customHeight="1">
      <x:c r="A28" s="1"/>
      <x:c r="B28" s="1"/>
      <x:c r="C28" s="56" t="str">
        <x:v>Net profit, total group</x:v>
      </x:c>
      <x:c r="D28" s="60"/>
      <x:c r="E28" s="60"/>
      <x:c r="F28" s="60"/>
      <x:c r="G28" s="60"/>
      <x:c r="H28" s="60"/>
      <x:c r="I28" s="60"/>
      <x:c r="J28" s="2"/>
      <x:c r="K28" s="2"/>
      <x:c r="L28" s="62"/>
      <x:c r="M28" s="62"/>
    </x:row>
    <x:row r="29" ht="23" customHeight="1">
      <x:c r="A29" s="1"/>
      <x:c r="B29" s="1"/>
      <x:c r="C29" s="56" t="str">
        <x:v>Net profit attributable to parent owners</x:v>
      </x:c>
      <x:c r="D29" s="60"/>
      <x:c r="E29" s="60"/>
      <x:c r="F29" s="60"/>
      <x:c r="G29" s="60"/>
      <x:c r="H29" s="60"/>
      <x:c r="I29" s="60"/>
      <x:c r="J29" s="2"/>
      <x:c r="K29" s="2"/>
      <x:c r="L29" s="62"/>
      <x:c r="M29" s="62"/>
    </x:row>
    <x:row r="30" ht="23" customHeight="1">
      <x:c r="A30" s="1"/>
      <x:c r="B30" s="1"/>
      <x:c r="C30" s="56" t="str">
        <x:v>Net profit attributable to non-controlling interests</x:v>
      </x:c>
      <x:c r="D30" s="60"/>
      <x:c r="E30" s="60"/>
      <x:c r="F30" s="60"/>
      <x:c r="G30" s="60"/>
      <x:c r="H30" s="60"/>
      <x:c r="I30" s="60"/>
      <x:c r="J30" s="2"/>
      <x:c r="K30" s="2"/>
      <x:c r="L30" s="62"/>
      <x:c r="M30" s="62"/>
    </x:row>
    <x:row r="31" ht="23" customHeight="1">
      <x:c r="A31" s="1"/>
      <x:c r="B31" s="1"/>
      <x:c r="C31" s="2" t="str">
        <x:v>Preferred dividends allocated to this period</x:v>
      </x:c>
      <x:c r="D31" s="48"/>
      <x:c r="E31" s="48"/>
      <x:c r="F31" s="48"/>
      <x:c r="G31" s="48"/>
      <x:c r="H31" s="48"/>
      <x:c r="I31" s="48"/>
      <x:c r="J31" s="2"/>
      <x:c r="K31" s="2"/>
      <x:c r="L31" s="62"/>
      <x:c r="M31" s="62"/>
    </x:row>
    <x:row r="32" ht="23" customHeight="1">
      <x:c r="A32" s="1"/>
      <x:c r="B32" s="1"/>
      <x:c r="C32" s="2" t="str">
        <x:v>Purchases used for supplier turnover</x:v>
      </x:c>
      <x:c r="D32" s="48"/>
      <x:c r="E32" s="48"/>
      <x:c r="F32" s="48"/>
      <x:c r="G32" s="48"/>
      <x:c r="H32" s="48"/>
      <x:c r="I32" s="48"/>
      <x:c r="J32" s="2"/>
      <x:c r="K32" s="2"/>
      <x:c r="L32" s="62"/>
      <x:c r="M32" s="62"/>
    </x:row>
    <x:row r="33" ht="23" customHeight="1">
      <x:c r="A33" s="1"/>
      <x:c r="B33" s="1"/>
      <x:c r="C33" s="2" t="str">
        <x:v>Credit sales, optional</x:v>
      </x:c>
      <x:c r="D33" s="48"/>
      <x:c r="E33" s="48"/>
      <x:c r="F33" s="48"/>
      <x:c r="G33" s="48"/>
      <x:c r="H33" s="48"/>
      <x:c r="I33" s="48"/>
      <x:c r="J33" s="2"/>
      <x:c r="K33" s="2"/>
      <x:c r="L33" s="62"/>
      <x:c r="M33" s="62"/>
    </x:row>
    <x:row r="34" ht="23" customHeight="1">
      <x:c r="A34" s="1"/>
      <x:c r="B34" s="1"/>
      <x:c r="C34" s="2"/>
      <x:c r="D34" s="2"/>
      <x:c r="E34" s="2"/>
      <x:c r="F34" s="2"/>
      <x:c r="G34" s="2"/>
      <x:c r="H34" s="2"/>
      <x:c r="I34" s="2"/>
      <x:c r="J34" s="2"/>
      <x:c r="K34" s="2"/>
      <x:c r="L34" s="62"/>
      <x:c r="M34" s="62"/>
    </x:row>
    <x:row r="35" ht="23" customHeight="1">
      <x:c r="A35" s="1"/>
      <x:c r="B35" s="1"/>
      <x:c r="C35" s="2"/>
      <x:c r="D35" s="2"/>
      <x:c r="E35" s="2"/>
      <x:c r="F35" s="2"/>
      <x:c r="G35" s="2"/>
      <x:c r="H35" s="2"/>
      <x:c r="I35" s="2"/>
      <x:c r="J35" s="2"/>
      <x:c r="K35" s="2"/>
      <x:c r="L35" s="62"/>
      <x:c r="M35" s="62"/>
    </x:row>
    <x:row r="36" ht="23" customHeight="1">
      <x:c r="A36" s="1"/>
      <x:c r="B36" s="1"/>
      <x:c r="C36" s="2"/>
      <x:c r="D36" s="2"/>
      <x:c r="E36" s="2"/>
      <x:c r="F36" s="2"/>
      <x:c r="G36" s="2"/>
      <x:c r="H36" s="2"/>
      <x:c r="I36" s="2"/>
      <x:c r="J36" s="2"/>
      <x:c r="K36" s="2"/>
      <x:c r="L36" s="62"/>
      <x:c r="M36" s="62"/>
    </x:row>
    <x:row r="38">
      <x:c r="C38" t="str">
        <x:v>Annual report title / fiscal year</x:v>
      </x:c>
      <x:c r="D38" s="64"/>
      <x:c r="E38" s="64"/>
      <x:c r="F38" s="64"/>
      <x:c r="G38" s="64"/>
      <x:c r="H38" s="64"/>
      <x:c r="I38" s="64"/>
    </x:row>
    <x:row r="39">
      <x:c r="C39" t="str">
        <x:v>Report URL</x:v>
      </x:c>
      <x:c r="D39" s="64"/>
      <x:c r="E39" s="64"/>
      <x:c r="F39" s="64"/>
      <x:c r="G39" s="64"/>
      <x:c r="H39" s="64"/>
      <x:c r="I39" s="64"/>
    </x:row>
    <x:row r="40">
      <x:c r="C40" t="str">
        <x:v>Statement page / note</x:v>
      </x:c>
      <x:c r="D40" s="64"/>
      <x:c r="E40" s="64"/>
      <x:c r="F40" s="64"/>
      <x:c r="G40" s="64"/>
      <x:c r="H40" s="64"/>
      <x:c r="I40" s="64"/>
    </x:row>
    <x:row r="41">
      <x:c r="C41" t="str">
        <x:v>Reporting date (enter as date)</x:v>
      </x:c>
      <x:c r="D41" s="64"/>
      <x:c r="E41" s="64"/>
      <x:c r="F41" s="64"/>
      <x:c r="G41" s="64"/>
      <x:c r="H41" s="64"/>
      <x:c r="I41" s="64"/>
    </x:row>
    <x:row r="42">
      <x:c r="C42" t="str">
        <x:v>Restatements / reclassifications</x:v>
      </x:c>
      <x:c r="D42" s="64"/>
      <x:c r="E42" s="64"/>
      <x:c r="F42" s="64"/>
      <x:c r="G42" s="64"/>
      <x:c r="H42" s="64"/>
      <x:c r="I42" s="64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Cash Flow Statement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Signed flows: receipts positive and payments negative.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 t="str">
        <x:v>One source per year: use the report fields below the statement.</x:v>
      </x:c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 t="str">
        <x:v>Mapping / annual-report line</x:v>
      </x:c>
      <x:c r="L5" s="2" t="str">
        <x:v>Report / page</x:v>
      </x:c>
      <x:c r="M5" s="2" t="str">
        <x:v>URL / source note</x:v>
      </x:c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Operating activities, signed indirect-method items</x:v>
      </x:c>
      <x:c r="D7" s="34"/>
      <x:c r="E7" s="34"/>
      <x:c r="F7" s="34"/>
      <x:c r="G7" s="34"/>
      <x:c r="H7" s="34"/>
      <x:c r="I7" s="34"/>
      <x:c r="J7" s="2"/>
      <x:c r="K7" s="2"/>
      <x:c r="L7" s="62"/>
      <x:c r="M7" s="62"/>
    </x:row>
    <x:row r="8" ht="23" customHeight="1">
      <x:c r="A8" s="1"/>
      <x:c r="B8" s="1"/>
      <x:c r="C8" s="2" t="str">
        <x:v>Starting profit in the cash flow statement</x:v>
      </x:c>
      <x:c r="D8" s="48"/>
      <x:c r="E8" s="48"/>
      <x:c r="F8" s="48"/>
      <x:c r="G8" s="48"/>
      <x:c r="H8" s="48"/>
      <x:c r="I8" s="48"/>
      <x:c r="J8" s="2"/>
      <x:c r="K8" s="2"/>
      <x:c r="L8" s="62"/>
      <x:c r="M8" s="62"/>
    </x:row>
    <x:row r="9" ht="23" customHeight="1">
      <x:c r="A9" s="1"/>
      <x:c r="B9" s="1"/>
      <x:c r="C9" s="2" t="str">
        <x:v>Depreciation and amortisation adjustment</x:v>
      </x:c>
      <x:c r="D9" s="48"/>
      <x:c r="E9" s="48"/>
      <x:c r="F9" s="48"/>
      <x:c r="G9" s="48"/>
      <x:c r="H9" s="48"/>
      <x:c r="I9" s="48"/>
      <x:c r="J9" s="2"/>
      <x:c r="K9" s="2"/>
      <x:c r="L9" s="62"/>
      <x:c r="M9" s="62"/>
    </x:row>
    <x:row r="10" ht="23" customHeight="1">
      <x:c r="A10" s="1"/>
      <x:c r="B10" s="1"/>
      <x:c r="C10" s="2" t="str">
        <x:v>Other non-cash adjustments</x:v>
      </x:c>
      <x:c r="D10" s="48"/>
      <x:c r="E10" s="48"/>
      <x:c r="F10" s="48"/>
      <x:c r="G10" s="48"/>
      <x:c r="H10" s="48"/>
      <x:c r="I10" s="48"/>
      <x:c r="J10" s="2"/>
      <x:c r="K10" s="2"/>
      <x:c r="L10" s="62"/>
      <x:c r="M10" s="62"/>
    </x:row>
    <x:row r="11" ht="23" customHeight="1">
      <x:c r="A11" s="1"/>
      <x:c r="B11" s="1"/>
      <x:c r="C11" s="2" t="str">
        <x:v>Inventory cash flow adjustment</x:v>
      </x:c>
      <x:c r="D11" s="48"/>
      <x:c r="E11" s="48"/>
      <x:c r="F11" s="48"/>
      <x:c r="G11" s="48"/>
      <x:c r="H11" s="48"/>
      <x:c r="I11" s="48"/>
      <x:c r="J11" s="2"/>
      <x:c r="K11" s="2"/>
      <x:c r="L11" s="62"/>
      <x:c r="M11" s="62"/>
    </x:row>
    <x:row r="12" ht="23" customHeight="1">
      <x:c r="A12" s="1"/>
      <x:c r="B12" s="1"/>
      <x:c r="C12" s="2" t="str">
        <x:v>Receivables cash flow adjustment</x:v>
      </x:c>
      <x:c r="D12" s="48"/>
      <x:c r="E12" s="48"/>
      <x:c r="F12" s="48"/>
      <x:c r="G12" s="48"/>
      <x:c r="H12" s="48"/>
      <x:c r="I12" s="48"/>
      <x:c r="J12" s="2"/>
      <x:c r="K12" s="2"/>
      <x:c r="L12" s="62"/>
      <x:c r="M12" s="62"/>
    </x:row>
    <x:row r="13" ht="23" customHeight="1">
      <x:c r="A13" s="1"/>
      <x:c r="B13" s="1"/>
      <x:c r="C13" s="2" t="str">
        <x:v>Payables cash flow adjustment</x:v>
      </x:c>
      <x:c r="D13" s="48"/>
      <x:c r="E13" s="48"/>
      <x:c r="F13" s="48"/>
      <x:c r="G13" s="48"/>
      <x:c r="H13" s="48"/>
      <x:c r="I13" s="48"/>
      <x:c r="J13" s="2"/>
      <x:c r="K13" s="2"/>
      <x:c r="L13" s="62"/>
      <x:c r="M13" s="62"/>
    </x:row>
    <x:row r="14" ht="23" customHeight="1">
      <x:c r="A14" s="1"/>
      <x:c r="B14" s="1"/>
      <x:c r="C14" s="2" t="str">
        <x:v>Other working-capital cash flow adjustments</x:v>
      </x:c>
      <x:c r="D14" s="48"/>
      <x:c r="E14" s="48"/>
      <x:c r="F14" s="48"/>
      <x:c r="G14" s="48"/>
      <x:c r="H14" s="48"/>
      <x:c r="I14" s="48"/>
      <x:c r="J14" s="2"/>
      <x:c r="K14" s="2"/>
      <x:c r="L14" s="62"/>
      <x:c r="M14" s="62"/>
    </x:row>
    <x:row r="15" ht="23" customHeight="1">
      <x:c r="A15" s="1"/>
      <x:c r="B15" s="1"/>
      <x:c r="C15" s="2" t="str">
        <x:v>Interest paid within operating cash flow</x:v>
      </x:c>
      <x:c r="D15" s="48"/>
      <x:c r="E15" s="48"/>
      <x:c r="F15" s="48"/>
      <x:c r="G15" s="48"/>
      <x:c r="H15" s="48"/>
      <x:c r="I15" s="48"/>
      <x:c r="J15" s="2"/>
      <x:c r="K15" s="2"/>
      <x:c r="L15" s="62"/>
      <x:c r="M15" s="62"/>
    </x:row>
    <x:row r="16" ht="23" customHeight="1">
      <x:c r="A16" s="1"/>
      <x:c r="B16" s="1"/>
      <x:c r="C16" s="2" t="str">
        <x:v>Income tax paid within operating cash flow</x:v>
      </x:c>
      <x:c r="D16" s="48"/>
      <x:c r="E16" s="48"/>
      <x:c r="F16" s="48"/>
      <x:c r="G16" s="48"/>
      <x:c r="H16" s="48"/>
      <x:c r="I16" s="48"/>
      <x:c r="J16" s="2"/>
      <x:c r="K16" s="2"/>
      <x:c r="L16" s="62"/>
      <x:c r="M16" s="62"/>
    </x:row>
    <x:row r="17" ht="23" customHeight="1">
      <x:c r="A17" s="1"/>
      <x:c r="B17" s="1"/>
      <x:c r="C17" s="2" t="str">
        <x:v>Other operating cash flows</x:v>
      </x:c>
      <x:c r="D17" s="48"/>
      <x:c r="E17" s="48"/>
      <x:c r="F17" s="48"/>
      <x:c r="G17" s="48"/>
      <x:c r="H17" s="48"/>
      <x:c r="I17" s="48"/>
      <x:c r="J17" s="2"/>
      <x:c r="K17" s="2"/>
      <x:c r="L17" s="62"/>
      <x:c r="M17" s="62"/>
    </x:row>
    <x:row r="18" ht="23" customHeight="1">
      <x:c r="A18" s="1"/>
      <x:c r="B18" s="1"/>
      <x:c r="C18" s="56" t="str">
        <x:v>Net operating cash flow, reported</x:v>
      </x:c>
      <x:c r="D18" s="60"/>
      <x:c r="E18" s="60"/>
      <x:c r="F18" s="60"/>
      <x:c r="G18" s="60"/>
      <x:c r="H18" s="60"/>
      <x:c r="I18" s="60"/>
      <x:c r="J18" s="2"/>
      <x:c r="K18" s="2"/>
      <x:c r="L18" s="62"/>
      <x:c r="M18" s="62"/>
    </x:row>
    <x:row r="19" ht="25" customHeight="1">
      <x:c r="A19" s="1"/>
      <x:c r="B19" s="1"/>
      <x:c r="C19" s="34" t="str">
        <x:v>Investing activities</x:v>
      </x:c>
      <x:c r="D19" s="34"/>
      <x:c r="E19" s="34"/>
      <x:c r="F19" s="34"/>
      <x:c r="G19" s="34"/>
      <x:c r="H19" s="34"/>
      <x:c r="I19" s="34"/>
      <x:c r="J19" s="2"/>
      <x:c r="K19" s="2"/>
      <x:c r="L19" s="62"/>
      <x:c r="M19" s="62"/>
    </x:row>
    <x:row r="20" ht="23" customHeight="1">
      <x:c r="A20" s="1"/>
      <x:c r="B20" s="1"/>
      <x:c r="C20" s="2" t="str">
        <x:v>Purchases of PPE and intangible assets</x:v>
      </x:c>
      <x:c r="D20" s="48"/>
      <x:c r="E20" s="48"/>
      <x:c r="F20" s="48"/>
      <x:c r="G20" s="48"/>
      <x:c r="H20" s="48"/>
      <x:c r="I20" s="48"/>
      <x:c r="J20" s="2"/>
      <x:c r="K20" s="2"/>
      <x:c r="L20" s="62"/>
      <x:c r="M20" s="62"/>
    </x:row>
    <x:row r="21" ht="23" customHeight="1">
      <x:c r="A21" s="1"/>
      <x:c r="B21" s="1"/>
      <x:c r="C21" s="2" t="str">
        <x:v>Proceeds from disposal of fixed assets</x:v>
      </x:c>
      <x:c r="D21" s="48"/>
      <x:c r="E21" s="48"/>
      <x:c r="F21" s="48"/>
      <x:c r="G21" s="48"/>
      <x:c r="H21" s="48"/>
      <x:c r="I21" s="48"/>
      <x:c r="J21" s="2"/>
      <x:c r="K21" s="2"/>
      <x:c r="L21" s="62"/>
      <x:c r="M21" s="62"/>
    </x:row>
    <x:row r="22" ht="23" customHeight="1">
      <x:c r="A22" s="1"/>
      <x:c r="B22" s="1"/>
      <x:c r="C22" s="2" t="str">
        <x:v>Business acquisitions, net cash</x:v>
      </x:c>
      <x:c r="D22" s="48"/>
      <x:c r="E22" s="48"/>
      <x:c r="F22" s="48"/>
      <x:c r="G22" s="48"/>
      <x:c r="H22" s="48"/>
      <x:c r="I22" s="48"/>
      <x:c r="J22" s="2"/>
      <x:c r="K22" s="2"/>
      <x:c r="L22" s="62"/>
      <x:c r="M22" s="62"/>
    </x:row>
    <x:row r="23" ht="23" customHeight="1">
      <x:c r="A23" s="1"/>
      <x:c r="B23" s="1"/>
      <x:c r="C23" s="2" t="str">
        <x:v>Purchases and sales of investments, net</x:v>
      </x:c>
      <x:c r="D23" s="48"/>
      <x:c r="E23" s="48"/>
      <x:c r="F23" s="48"/>
      <x:c r="G23" s="48"/>
      <x:c r="H23" s="48"/>
      <x:c r="I23" s="48"/>
      <x:c r="J23" s="2"/>
      <x:c r="K23" s="2"/>
      <x:c r="L23" s="62"/>
      <x:c r="M23" s="62"/>
    </x:row>
    <x:row r="24" ht="23" customHeight="1">
      <x:c r="A24" s="1"/>
      <x:c r="B24" s="1"/>
      <x:c r="C24" s="2" t="str">
        <x:v>Interest received classified as investing</x:v>
      </x:c>
      <x:c r="D24" s="48"/>
      <x:c r="E24" s="48"/>
      <x:c r="F24" s="48"/>
      <x:c r="G24" s="48"/>
      <x:c r="H24" s="48"/>
      <x:c r="I24" s="48"/>
      <x:c r="J24" s="2"/>
      <x:c r="K24" s="2"/>
      <x:c r="L24" s="62"/>
      <x:c r="M24" s="62"/>
    </x:row>
    <x:row r="25" ht="23" customHeight="1">
      <x:c r="A25" s="1"/>
      <x:c r="B25" s="1"/>
      <x:c r="C25" s="2" t="str">
        <x:v>Dividends received classified as investing</x:v>
      </x:c>
      <x:c r="D25" s="48"/>
      <x:c r="E25" s="48"/>
      <x:c r="F25" s="48"/>
      <x:c r="G25" s="48"/>
      <x:c r="H25" s="48"/>
      <x:c r="I25" s="48"/>
      <x:c r="J25" s="2"/>
      <x:c r="K25" s="2"/>
      <x:c r="L25" s="62"/>
      <x:c r="M25" s="62"/>
    </x:row>
    <x:row r="26" ht="23" customHeight="1">
      <x:c r="A26" s="1"/>
      <x:c r="B26" s="1"/>
      <x:c r="C26" s="2" t="str">
        <x:v>Other investing cash flows</x:v>
      </x:c>
      <x:c r="D26" s="48"/>
      <x:c r="E26" s="48"/>
      <x:c r="F26" s="48"/>
      <x:c r="G26" s="48"/>
      <x:c r="H26" s="48"/>
      <x:c r="I26" s="48"/>
      <x:c r="J26" s="2"/>
      <x:c r="K26" s="2"/>
      <x:c r="L26" s="62"/>
      <x:c r="M26" s="62"/>
    </x:row>
    <x:row r="27" ht="23" customHeight="1">
      <x:c r="A27" s="1"/>
      <x:c r="B27" s="1"/>
      <x:c r="C27" s="56" t="str">
        <x:v>Net investing cash flow, reported</x:v>
      </x:c>
      <x:c r="D27" s="60"/>
      <x:c r="E27" s="60"/>
      <x:c r="F27" s="60"/>
      <x:c r="G27" s="60"/>
      <x:c r="H27" s="60"/>
      <x:c r="I27" s="60"/>
      <x:c r="J27" s="2"/>
      <x:c r="K27" s="2"/>
      <x:c r="L27" s="62"/>
      <x:c r="M27" s="62"/>
    </x:row>
    <x:row r="28" ht="25" customHeight="1">
      <x:c r="A28" s="1"/>
      <x:c r="B28" s="1"/>
      <x:c r="C28" s="34" t="str">
        <x:v>Financing activities</x:v>
      </x:c>
      <x:c r="D28" s="34"/>
      <x:c r="E28" s="34"/>
      <x:c r="F28" s="34"/>
      <x:c r="G28" s="34"/>
      <x:c r="H28" s="34"/>
      <x:c r="I28" s="34"/>
      <x:c r="J28" s="2"/>
      <x:c r="K28" s="2"/>
      <x:c r="L28" s="62"/>
      <x:c r="M28" s="62"/>
    </x:row>
    <x:row r="29" ht="23" customHeight="1">
      <x:c r="A29" s="1"/>
      <x:c r="B29" s="1"/>
      <x:c r="C29" s="2" t="str">
        <x:v>Proceeds from share issues</x:v>
      </x:c>
      <x:c r="D29" s="48"/>
      <x:c r="E29" s="48"/>
      <x:c r="F29" s="48"/>
      <x:c r="G29" s="48"/>
      <x:c r="H29" s="48"/>
      <x:c r="I29" s="48"/>
      <x:c r="J29" s="2"/>
      <x:c r="K29" s="2"/>
      <x:c r="L29" s="62"/>
      <x:c r="M29" s="62"/>
    </x:row>
    <x:row r="30" ht="23" customHeight="1">
      <x:c r="A30" s="1"/>
      <x:c r="B30" s="1"/>
      <x:c r="C30" s="2" t="str">
        <x:v>Share repurchases</x:v>
      </x:c>
      <x:c r="D30" s="48"/>
      <x:c r="E30" s="48"/>
      <x:c r="F30" s="48"/>
      <x:c r="G30" s="48"/>
      <x:c r="H30" s="48"/>
      <x:c r="I30" s="48"/>
      <x:c r="J30" s="2"/>
      <x:c r="K30" s="2"/>
      <x:c r="L30" s="62"/>
      <x:c r="M30" s="62"/>
    </x:row>
    <x:row r="31" ht="23" customHeight="1">
      <x:c r="A31" s="1"/>
      <x:c r="B31" s="1"/>
      <x:c r="C31" s="2" t="str">
        <x:v>New borrowings</x:v>
      </x:c>
      <x:c r="D31" s="48"/>
      <x:c r="E31" s="48"/>
      <x:c r="F31" s="48"/>
      <x:c r="G31" s="48"/>
      <x:c r="H31" s="48"/>
      <x:c r="I31" s="48"/>
      <x:c r="J31" s="2"/>
      <x:c r="K31" s="2"/>
      <x:c r="L31" s="62"/>
      <x:c r="M31" s="62"/>
    </x:row>
    <x:row r="32" ht="23" customHeight="1">
      <x:c r="A32" s="1"/>
      <x:c r="B32" s="1"/>
      <x:c r="C32" s="2" t="str">
        <x:v>Debt principal repayments</x:v>
      </x:c>
      <x:c r="D32" s="48"/>
      <x:c r="E32" s="48"/>
      <x:c r="F32" s="48"/>
      <x:c r="G32" s="48"/>
      <x:c r="H32" s="48"/>
      <x:c r="I32" s="48"/>
      <x:c r="J32" s="2"/>
      <x:c r="K32" s="2"/>
      <x:c r="L32" s="62"/>
      <x:c r="M32" s="62"/>
    </x:row>
    <x:row r="33" ht="23" customHeight="1">
      <x:c r="A33" s="1"/>
      <x:c r="B33" s="1"/>
      <x:c r="C33" s="2" t="str">
        <x:v>Lease principal repayments</x:v>
      </x:c>
      <x:c r="D33" s="48"/>
      <x:c r="E33" s="48"/>
      <x:c r="F33" s="48"/>
      <x:c r="G33" s="48"/>
      <x:c r="H33" s="48"/>
      <x:c r="I33" s="48"/>
      <x:c r="J33" s="2"/>
      <x:c r="K33" s="2"/>
      <x:c r="L33" s="62"/>
      <x:c r="M33" s="62"/>
    </x:row>
    <x:row r="34" ht="23" customHeight="1">
      <x:c r="A34" s="1"/>
      <x:c r="B34" s="1"/>
      <x:c r="C34" s="2" t="str">
        <x:v>Dividends paid</x:v>
      </x:c>
      <x:c r="D34" s="48"/>
      <x:c r="E34" s="48"/>
      <x:c r="F34" s="48"/>
      <x:c r="G34" s="48"/>
      <x:c r="H34" s="48"/>
      <x:c r="I34" s="48"/>
      <x:c r="J34" s="2"/>
      <x:c r="K34" s="2"/>
      <x:c r="L34" s="62"/>
      <x:c r="M34" s="62"/>
    </x:row>
    <x:row r="35" ht="23" customHeight="1">
      <x:c r="A35" s="1"/>
      <x:c r="B35" s="1"/>
      <x:c r="C35" s="2" t="str">
        <x:v>Interest paid classified as financing</x:v>
      </x:c>
      <x:c r="D35" s="48"/>
      <x:c r="E35" s="48"/>
      <x:c r="F35" s="48"/>
      <x:c r="G35" s="48"/>
      <x:c r="H35" s="48"/>
      <x:c r="I35" s="48"/>
      <x:c r="J35" s="2"/>
      <x:c r="K35" s="2"/>
      <x:c r="L35" s="62"/>
      <x:c r="M35" s="62"/>
    </x:row>
    <x:row r="36" ht="23" customHeight="1">
      <x:c r="A36" s="1"/>
      <x:c r="B36" s="1"/>
      <x:c r="C36" s="2" t="str">
        <x:v>Other financing cash flows</x:v>
      </x:c>
      <x:c r="D36" s="48"/>
      <x:c r="E36" s="48"/>
      <x:c r="F36" s="48"/>
      <x:c r="G36" s="48"/>
      <x:c r="H36" s="48"/>
      <x:c r="I36" s="48"/>
      <x:c r="J36" s="2"/>
      <x:c r="K36" s="2"/>
      <x:c r="L36" s="62"/>
      <x:c r="M36" s="62"/>
    </x:row>
    <x:row r="37" ht="23" customHeight="1">
      <x:c r="A37" s="1"/>
      <x:c r="B37" s="1"/>
      <x:c r="C37" s="56" t="str">
        <x:v>Net financing cash flow, reported</x:v>
      </x:c>
      <x:c r="D37" s="60"/>
      <x:c r="E37" s="60"/>
      <x:c r="F37" s="60"/>
      <x:c r="G37" s="60"/>
      <x:c r="H37" s="60"/>
      <x:c r="I37" s="60"/>
      <x:c r="J37" s="2"/>
      <x:c r="K37" s="2"/>
      <x:c r="L37" s="62"/>
      <x:c r="M37" s="62"/>
    </x:row>
    <x:row r="38" ht="25" customHeight="1">
      <x:c r="A38" s="1"/>
      <x:c r="B38" s="1"/>
      <x:c r="C38" s="34" t="str">
        <x:v>Cash reconciliation and optional detail</x:v>
      </x:c>
      <x:c r="D38" s="34"/>
      <x:c r="E38" s="34"/>
      <x:c r="F38" s="34"/>
      <x:c r="G38" s="34"/>
      <x:c r="H38" s="34"/>
      <x:c r="I38" s="34"/>
      <x:c r="J38" s="2"/>
      <x:c r="K38" s="2"/>
      <x:c r="L38" s="62"/>
      <x:c r="M38" s="62"/>
    </x:row>
    <x:row r="39" ht="23" customHeight="1">
      <x:c r="A39" s="1"/>
      <x:c r="B39" s="1"/>
      <x:c r="C39" s="2" t="str">
        <x:v>Exchange-rate effect on cash</x:v>
      </x:c>
      <x:c r="D39" s="48"/>
      <x:c r="E39" s="48"/>
      <x:c r="F39" s="48"/>
      <x:c r="G39" s="48"/>
      <x:c r="H39" s="48"/>
      <x:c r="I39" s="48"/>
      <x:c r="J39" s="2"/>
      <x:c r="K39" s="2"/>
      <x:c r="L39" s="62"/>
      <x:c r="M39" s="62"/>
    </x:row>
    <x:row r="40" ht="23" customHeight="1">
      <x:c r="A40" s="1"/>
      <x:c r="B40" s="1"/>
      <x:c r="C40" s="2" t="str">
        <x:v>Cash at beginning of period</x:v>
      </x:c>
      <x:c r="D40" s="48"/>
      <x:c r="E40" s="48"/>
      <x:c r="F40" s="48"/>
      <x:c r="G40" s="48"/>
      <x:c r="H40" s="48"/>
      <x:c r="I40" s="48"/>
      <x:c r="J40" s="2"/>
      <x:c r="K40" s="2"/>
      <x:c r="L40" s="62"/>
      <x:c r="M40" s="62"/>
    </x:row>
    <x:row r="41" ht="23" customHeight="1">
      <x:c r="A41" s="1"/>
      <x:c r="B41" s="1"/>
      <x:c r="C41" s="2" t="str">
        <x:v>Cash at end of period</x:v>
      </x:c>
      <x:c r="D41" s="48"/>
      <x:c r="E41" s="48"/>
      <x:c r="F41" s="48"/>
      <x:c r="G41" s="48"/>
      <x:c r="H41" s="48"/>
      <x:c r="I41" s="48"/>
      <x:c r="J41" s="2"/>
      <x:c r="K41" s="2"/>
      <x:c r="L41" s="62"/>
      <x:c r="M41" s="62"/>
    </x:row>
    <x:row r="42" ht="23" customHeight="1">
      <x:c r="A42" s="1"/>
      <x:c r="B42" s="1"/>
      <x:c r="C42" s="2" t="str">
        <x:v>CF cash less balance-sheet cash, explained</x:v>
      </x:c>
      <x:c r="D42" s="48"/>
      <x:c r="E42" s="48"/>
      <x:c r="F42" s="48"/>
      <x:c r="G42" s="48"/>
      <x:c r="H42" s="48"/>
      <x:c r="I42" s="48"/>
      <x:c r="J42" s="2"/>
      <x:c r="K42" s="2"/>
      <x:c r="L42" s="62"/>
      <x:c r="M42" s="62"/>
    </x:row>
    <x:row r="43" ht="23" customHeight="1">
      <x:c r="A43" s="1"/>
      <x:c r="B43" s="1"/>
      <x:c r="C43" s="2" t="str">
        <x:v>Estimated maintenance capex (positive)</x:v>
      </x:c>
      <x:c r="D43" s="48"/>
      <x:c r="E43" s="48"/>
      <x:c r="F43" s="48"/>
      <x:c r="G43" s="48"/>
      <x:c r="H43" s="48"/>
      <x:c r="I43" s="48"/>
      <x:c r="J43" s="2"/>
      <x:c r="K43" s="2"/>
      <x:c r="L43" s="62"/>
      <x:c r="M43" s="62"/>
    </x:row>
    <x:row r="44" ht="23" customHeight="1">
      <x:c r="A44" s="1"/>
      <x:c r="B44" s="1"/>
      <x:c r="C44" s="2" t="str">
        <x:v>Company-defined core operating cash flow</x:v>
      </x:c>
      <x:c r="D44" s="48"/>
      <x:c r="E44" s="48"/>
      <x:c r="F44" s="48"/>
      <x:c r="G44" s="48"/>
      <x:c r="H44" s="48"/>
      <x:c r="I44" s="48"/>
      <x:c r="J44" s="2"/>
      <x:c r="K44" s="2"/>
      <x:c r="L44" s="62"/>
      <x:c r="M44" s="62"/>
    </x:row>
    <x:row r="45" ht="23" customHeight="1">
      <x:c r="A45" s="1"/>
      <x:c r="B45" s="1"/>
      <x:c r="C45" s="2"/>
      <x:c r="D45" s="2"/>
      <x:c r="E45" s="2"/>
      <x:c r="F45" s="2"/>
      <x:c r="G45" s="2"/>
      <x:c r="H45" s="2"/>
      <x:c r="I45" s="2"/>
      <x:c r="J45" s="2"/>
      <x:c r="K45" s="2"/>
      <x:c r="L45" s="62"/>
      <x:c r="M45" s="62"/>
    </x:row>
    <x:row r="46" ht="23" customHeight="1">
      <x:c r="A46" s="1"/>
      <x:c r="B46" s="1"/>
      <x:c r="C46" s="2"/>
      <x:c r="D46" s="2"/>
      <x:c r="E46" s="2"/>
      <x:c r="F46" s="2"/>
      <x:c r="G46" s="2"/>
      <x:c r="H46" s="2"/>
      <x:c r="I46" s="2"/>
      <x:c r="J46" s="2"/>
      <x:c r="K46" s="2"/>
      <x:c r="L46" s="62"/>
      <x:c r="M46" s="62"/>
    </x:row>
    <x:row r="47" ht="23" customHeight="1">
      <x:c r="A47" s="1"/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62"/>
      <x:c r="M47" s="62"/>
    </x:row>
    <x:row r="49">
      <x:c r="C49" t="str">
        <x:v>Annual report title / fiscal year</x:v>
      </x:c>
      <x:c r="D49" s="64"/>
      <x:c r="E49" s="64"/>
      <x:c r="F49" s="64"/>
      <x:c r="G49" s="64"/>
      <x:c r="H49" s="64"/>
      <x:c r="I49" s="64"/>
    </x:row>
    <x:row r="50">
      <x:c r="C50" t="str">
        <x:v>Report URL</x:v>
      </x:c>
      <x:c r="D50" s="64"/>
      <x:c r="E50" s="64"/>
      <x:c r="F50" s="64"/>
      <x:c r="G50" s="64"/>
      <x:c r="H50" s="64"/>
      <x:c r="I50" s="64"/>
    </x:row>
    <x:row r="51">
      <x:c r="C51" t="str">
        <x:v>Statement page / note</x:v>
      </x:c>
      <x:c r="D51" s="64"/>
      <x:c r="E51" s="64"/>
      <x:c r="F51" s="64"/>
      <x:c r="G51" s="64"/>
      <x:c r="H51" s="64"/>
      <x:c r="I51" s="64"/>
    </x:row>
    <x:row r="52">
      <x:c r="C52" t="str">
        <x:v>Reporting date (enter as date)</x:v>
      </x:c>
      <x:c r="D52" s="64"/>
      <x:c r="E52" s="64"/>
      <x:c r="F52" s="64"/>
      <x:c r="G52" s="64"/>
      <x:c r="H52" s="64"/>
      <x:c r="I52" s="64"/>
    </x:row>
    <x:row r="53">
      <x:c r="C53" t="str">
        <x:v>Restatements / reclassifications</x:v>
      </x:c>
      <x:c r="D53" s="64"/>
      <x:c r="E53" s="64"/>
      <x:c r="F53" s="64"/>
      <x:c r="G53" s="64"/>
      <x:c r="H53" s="64"/>
      <x:c r="I53" s="64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Changes in Equity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Total group equity. Decreases and distributions are negative.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 t="str">
        <x:v>One source per year: use the report fields below the statement.</x:v>
      </x:c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 t="str">
        <x:v>Mapping / annual-report line</x:v>
      </x:c>
      <x:c r="L5" s="2" t="str">
        <x:v>Report / page</x:v>
      </x:c>
      <x:c r="M5" s="2" t="str">
        <x:v>URL / source note</x:v>
      </x:c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56" t="str">
        <x:v>Opening total equity, restated</x:v>
      </x:c>
      <x:c r="D7" s="60"/>
      <x:c r="E7" s="60"/>
      <x:c r="F7" s="60"/>
      <x:c r="G7" s="60"/>
      <x:c r="H7" s="60"/>
      <x:c r="I7" s="60"/>
      <x:c r="J7" s="2"/>
      <x:c r="K7" s="2"/>
      <x:c r="L7" s="62"/>
      <x:c r="M7" s="62"/>
    </x:row>
    <x:row r="8" ht="23" customHeight="1">
      <x:c r="A8" s="1"/>
      <x:c r="B8" s="1"/>
      <x:c r="C8" s="56" t="str">
        <x:v>Net profit for the year</x:v>
      </x:c>
      <x:c r="D8" s="60"/>
      <x:c r="E8" s="60"/>
      <x:c r="F8" s="60"/>
      <x:c r="G8" s="60"/>
      <x:c r="H8" s="60"/>
      <x:c r="I8" s="60"/>
      <x:c r="J8" s="2"/>
      <x:c r="K8" s="2"/>
      <x:c r="L8" s="62"/>
      <x:c r="M8" s="62"/>
    </x:row>
    <x:row r="9" ht="23" customHeight="1">
      <x:c r="A9" s="1"/>
      <x:c r="B9" s="1"/>
      <x:c r="C9" s="2" t="str">
        <x:v>Other comprehensive income</x:v>
      </x:c>
      <x:c r="D9" s="48"/>
      <x:c r="E9" s="48"/>
      <x:c r="F9" s="48"/>
      <x:c r="G9" s="48"/>
      <x:c r="H9" s="48"/>
      <x:c r="I9" s="48"/>
      <x:c r="J9" s="2"/>
      <x:c r="K9" s="2"/>
      <x:c r="L9" s="62"/>
      <x:c r="M9" s="62"/>
    </x:row>
    <x:row r="10" ht="23" customHeight="1">
      <x:c r="A10" s="1"/>
      <x:c r="B10" s="1"/>
      <x:c r="C10" s="2" t="str">
        <x:v>Share issues and option exercises</x:v>
      </x:c>
      <x:c r="D10" s="48"/>
      <x:c r="E10" s="48"/>
      <x:c r="F10" s="48"/>
      <x:c r="G10" s="48"/>
      <x:c r="H10" s="48"/>
      <x:c r="I10" s="48"/>
      <x:c r="J10" s="2"/>
      <x:c r="K10" s="2"/>
      <x:c r="L10" s="62"/>
      <x:c r="M10" s="62"/>
    </x:row>
    <x:row r="11" ht="23" customHeight="1">
      <x:c r="A11" s="1"/>
      <x:c r="B11" s="1"/>
      <x:c r="C11" s="2" t="str">
        <x:v>Treasury share transactions, net</x:v>
      </x:c>
      <x:c r="D11" s="48"/>
      <x:c r="E11" s="48"/>
      <x:c r="F11" s="48"/>
      <x:c r="G11" s="48"/>
      <x:c r="H11" s="48"/>
      <x:c r="I11" s="48"/>
      <x:c r="J11" s="2"/>
      <x:c r="K11" s="2"/>
      <x:c r="L11" s="62"/>
      <x:c r="M11" s="62"/>
    </x:row>
    <x:row r="12" ht="23" customHeight="1">
      <x:c r="A12" s="1"/>
      <x:c r="B12" s="1"/>
      <x:c r="C12" s="2" t="str">
        <x:v>Dividends recognised in equity</x:v>
      </x:c>
      <x:c r="D12" s="48"/>
      <x:c r="E12" s="48"/>
      <x:c r="F12" s="48"/>
      <x:c r="G12" s="48"/>
      <x:c r="H12" s="48"/>
      <x:c r="I12" s="48"/>
      <x:c r="J12" s="2"/>
      <x:c r="K12" s="2"/>
      <x:c r="L12" s="62"/>
      <x:c r="M12" s="62"/>
    </x:row>
    <x:row r="13" ht="23" customHeight="1">
      <x:c r="A13" s="1"/>
      <x:c r="B13" s="1"/>
      <x:c r="C13" s="2" t="str">
        <x:v>Changes in ownership and NCI</x:v>
      </x:c>
      <x:c r="D13" s="48"/>
      <x:c r="E13" s="48"/>
      <x:c r="F13" s="48"/>
      <x:c r="G13" s="48"/>
      <x:c r="H13" s="48"/>
      <x:c r="I13" s="48"/>
      <x:c r="J13" s="2"/>
      <x:c r="K13" s="2"/>
      <x:c r="L13" s="62"/>
      <x:c r="M13" s="62"/>
    </x:row>
    <x:row r="14" ht="23" customHeight="1">
      <x:c r="A14" s="1"/>
      <x:c r="B14" s="1"/>
      <x:c r="C14" s="2" t="str">
        <x:v>Other changes including restatements</x:v>
      </x:c>
      <x:c r="D14" s="48"/>
      <x:c r="E14" s="48"/>
      <x:c r="F14" s="48"/>
      <x:c r="G14" s="48"/>
      <x:c r="H14" s="48"/>
      <x:c r="I14" s="48"/>
      <x:c r="J14" s="2"/>
      <x:c r="K14" s="2"/>
      <x:c r="L14" s="62"/>
      <x:c r="M14" s="62"/>
    </x:row>
    <x:row r="15" ht="23" customHeight="1">
      <x:c r="A15" s="1"/>
      <x:c r="B15" s="1"/>
      <x:c r="C15" s="56" t="str">
        <x:v>Closing total equity, reported</x:v>
      </x:c>
      <x:c r="D15" s="60"/>
      <x:c r="E15" s="60"/>
      <x:c r="F15" s="60"/>
      <x:c r="G15" s="60"/>
      <x:c r="H15" s="60"/>
      <x:c r="I15" s="60"/>
      <x:c r="J15" s="2"/>
      <x:c r="K15" s="2"/>
      <x:c r="L15" s="62"/>
      <x:c r="M15" s="62"/>
    </x:row>
    <x:row r="16" ht="23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62"/>
      <x:c r="M16" s="62"/>
    </x:row>
    <x:row r="17" ht="23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62"/>
      <x:c r="M17" s="62"/>
    </x:row>
    <x:row r="18" ht="23" customHeight="1">
      <x:c r="A18" s="1"/>
      <x:c r="B18" s="1"/>
      <x:c r="C18" s="2"/>
      <x:c r="D18" s="2"/>
      <x:c r="E18" s="2"/>
      <x:c r="F18" s="2"/>
      <x:c r="G18" s="2"/>
      <x:c r="H18" s="2"/>
      <x:c r="I18" s="2"/>
      <x:c r="J18" s="2"/>
      <x:c r="K18" s="2"/>
      <x:c r="L18" s="62"/>
      <x:c r="M18" s="62"/>
    </x:row>
    <x:row r="19" ht="23" customHeight="1">
      <x:c r="A19" s="1"/>
      <x:c r="B19" s="1"/>
      <x:c r="C19" s="2"/>
      <x:c r="D19" s="2"/>
      <x:c r="E19" s="2"/>
      <x:c r="F19" s="2"/>
      <x:c r="G19" s="2"/>
      <x:c r="H19" s="2"/>
      <x:c r="I19" s="2"/>
      <x:c r="J19" s="2"/>
      <x:c r="K19" s="2"/>
      <x:c r="L19" s="62"/>
      <x:c r="M19" s="62"/>
    </x:row>
    <x:row r="20" ht="23" customHeight="1">
      <x:c r="A20" s="1"/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62"/>
      <x:c r="M20" s="62"/>
    </x:row>
    <x:row r="21" ht="23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62"/>
      <x:c r="M21" s="6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62"/>
      <x:c r="M22" s="6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62"/>
      <x:c r="M23" s="6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62"/>
      <x:c r="M24" s="6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62"/>
      <x:c r="M25" s="6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62"/>
      <x:c r="M26" s="6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62"/>
      <x:c r="M27" s="6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62"/>
      <x:c r="M28" s="62"/>
    </x:row>
    <x:row r="30">
      <x:c r="C30" t="str">
        <x:v>Annual report title / fiscal year</x:v>
      </x:c>
      <x:c r="D30" s="64"/>
      <x:c r="E30" s="64"/>
      <x:c r="F30" s="64"/>
      <x:c r="G30" s="64"/>
      <x:c r="H30" s="64"/>
      <x:c r="I30" s="64"/>
    </x:row>
    <x:row r="31">
      <x:c r="C31" t="str">
        <x:v>Report URL</x:v>
      </x:c>
      <x:c r="D31" s="64"/>
      <x:c r="E31" s="64"/>
      <x:c r="F31" s="64"/>
      <x:c r="G31" s="64"/>
      <x:c r="H31" s="64"/>
      <x:c r="I31" s="64"/>
    </x:row>
    <x:row r="32">
      <x:c r="C32" t="str">
        <x:v>Statement page / note</x:v>
      </x:c>
      <x:c r="D32" s="64"/>
      <x:c r="E32" s="64"/>
      <x:c r="F32" s="64"/>
      <x:c r="G32" s="64"/>
      <x:c r="H32" s="64"/>
      <x:c r="I32" s="64"/>
    </x:row>
    <x:row r="33">
      <x:c r="C33" t="str">
        <x:v>Reporting date (enter as date)</x:v>
      </x:c>
      <x:c r="D33" s="64"/>
      <x:c r="E33" s="64"/>
      <x:c r="F33" s="64"/>
      <x:c r="G33" s="64"/>
      <x:c r="H33" s="64"/>
      <x:c r="I33" s="64"/>
    </x:row>
    <x:row r="34">
      <x:c r="C34" t="str">
        <x:v>Restatements / reclassifications</x:v>
      </x:c>
      <x:c r="D34" s="64"/>
      <x:c r="E34" s="64"/>
      <x:c r="F34" s="64"/>
      <x:c r="G34" s="64"/>
      <x:c r="H34" s="64"/>
      <x:c r="I34" s="64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Market Inputs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Use price, shares and financials on a consistent currency and date basis.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 t="str">
        <x:v>One source per year: use the report fields below the statement.</x:v>
      </x:c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 t="str">
        <x:v>Mapping / annual-report line</x:v>
      </x:c>
      <x:c r="L5" s="2" t="str">
        <x:v>Report / page</x:v>
      </x:c>
      <x:c r="M5" s="2" t="str">
        <x:v>URL / source note</x:v>
      </x:c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Year-end share price</x:v>
      </x:c>
      <x:c r="D7" s="50"/>
      <x:c r="E7" s="50"/>
      <x:c r="F7" s="50"/>
      <x:c r="G7" s="50"/>
      <x:c r="H7" s="50"/>
      <x:c r="I7" s="50"/>
      <x:c r="J7" s="2"/>
      <x:c r="K7" s="2" t="str">
        <x:v>Currency units per share, not millions.</x:v>
      </x:c>
      <x:c r="L7" s="62"/>
      <x:c r="M7" s="62"/>
    </x:row>
    <x:row r="8" ht="23" customHeight="1">
      <x:c r="A8" s="1"/>
      <x:c r="B8" s="1"/>
      <x:c r="C8" s="2" t="str">
        <x:v>Year-end ordinary shares outstanding</x:v>
      </x:c>
      <x:c r="D8" s="48"/>
      <x:c r="E8" s="48"/>
      <x:c r="F8" s="48"/>
      <x:c r="G8" s="48"/>
      <x:c r="H8" s="48"/>
      <x:c r="I8" s="48"/>
      <x:c r="J8" s="2"/>
      <x:c r="K8" s="2" t="str">
        <x:v>Exclude treasury shares. Use share scale in Setup.</x:v>
      </x:c>
      <x:c r="L8" s="62"/>
      <x:c r="M8" s="62"/>
    </x:row>
    <x:row r="9" ht="23" customHeight="1">
      <x:c r="A9" s="1"/>
      <x:c r="B9" s="1"/>
      <x:c r="C9" s="2" t="str">
        <x:v>Weighted-average basic ordinary shares</x:v>
      </x:c>
      <x:c r="D9" s="48"/>
      <x:c r="E9" s="48"/>
      <x:c r="F9" s="48"/>
      <x:c r="G9" s="48"/>
      <x:c r="H9" s="48"/>
      <x:c r="I9" s="48"/>
      <x:c r="J9" s="2"/>
      <x:c r="K9" s="2" t="str">
        <x:v>For basic EPS, distinct from closing share count.</x:v>
      </x:c>
      <x:c r="L9" s="62"/>
      <x:c r="M9" s="62"/>
    </x:row>
    <x:row r="10" ht="23" customHeight="1">
      <x:c r="A10" s="1"/>
      <x:c r="B10" s="1"/>
      <x:c r="C10" s="56" t="str">
        <x:v>Basic EPS, reported</x:v>
      </x:c>
      <x:c r="D10" s="68"/>
      <x:c r="E10" s="68"/>
      <x:c r="F10" s="68"/>
      <x:c r="G10" s="68"/>
      <x:c r="H10" s="68"/>
      <x:c r="I10" s="68"/>
      <x:c r="J10" s="2"/>
      <x:c r="K10" s="2" t="str">
        <x:v>Split-adjusted consistently with price.</x:v>
      </x:c>
      <x:c r="L10" s="62"/>
      <x:c r="M10" s="62"/>
    </x:row>
    <x:row r="11" ht="23" customHeight="1">
      <x:c r="A11" s="1"/>
      <x:c r="B11" s="1"/>
      <x:c r="C11" s="56" t="str">
        <x:v>Diluted EPS, reported</x:v>
      </x:c>
      <x:c r="D11" s="68"/>
      <x:c r="E11" s="68"/>
      <x:c r="F11" s="68"/>
      <x:c r="G11" s="68"/>
      <x:c r="H11" s="68"/>
      <x:c r="I11" s="68"/>
      <x:c r="J11" s="2"/>
      <x:c r="K11" s="2" t="str">
        <x:v>Use the company figure; dilution needs instrument-specific adjustments.</x:v>
      </x:c>
      <x:c r="L11" s="62"/>
      <x:c r="M11" s="62"/>
    </x:row>
    <x:row r="12" ht="23" customHeight="1">
      <x:c r="A12" s="1"/>
      <x:c r="B12" s="1"/>
      <x:c r="C12" s="2" t="str">
        <x:v>Dividend per ordinary share for fiscal year</x:v>
      </x:c>
      <x:c r="D12" s="50"/>
      <x:c r="E12" s="50"/>
      <x:c r="F12" s="50"/>
      <x:c r="G12" s="50"/>
      <x:c r="H12" s="50"/>
      <x:c r="I12" s="50"/>
      <x:c r="J12" s="2"/>
      <x:c r="K12" s="2" t="str">
        <x:v>Allocated dividend, not necessarily cash paid in this year.</x:v>
      </x:c>
      <x:c r="L12" s="62"/>
      <x:c r="M12" s="62"/>
    </x:row>
    <x:row r="13" ht="23" customHeight="1">
      <x:c r="A13" s="1"/>
      <x:c r="B13" s="1"/>
      <x:c r="C13" s="2" t="str">
        <x:v>Cash dividend per share received in calendar period</x:v>
      </x:c>
      <x:c r="D13" s="50"/>
      <x:c r="E13" s="50"/>
      <x:c r="F13" s="50"/>
      <x:c r="G13" s="50"/>
      <x:c r="H13" s="50"/>
      <x:c r="I13" s="50"/>
      <x:c r="J13" s="2"/>
      <x:c r="K13" s="2" t="str">
        <x:v>For price-plus-dividend return; consistent split basis.</x:v>
      </x:c>
      <x:c r="L13" s="62"/>
      <x:c r="M13" s="62"/>
    </x:row>
    <x:row r="14" ht="23" customHeight="1">
      <x:c r="A14" s="1"/>
      <x:c r="B14" s="1"/>
      <x:c r="C14" s="2" t="str">
        <x:v>Common dividends allocated to fiscal year</x:v>
      </x:c>
      <x:c r="D14" s="48"/>
      <x:c r="E14" s="48"/>
      <x:c r="F14" s="48"/>
      <x:c r="G14" s="48"/>
      <x:c r="H14" s="48"/>
      <x:c r="I14" s="48"/>
      <x:c r="J14" s="2"/>
      <x:c r="K14" s="2" t="str">
        <x:v>Monetary scale in Setup; for payout ratio.</x:v>
      </x:c>
      <x:c r="L14" s="62"/>
      <x:c r="M14" s="62"/>
    </x:row>
    <x:row r="15" ht="23" customHeight="1">
      <x:c r="A15" s="1"/>
      <x:c r="B15" s="1"/>
      <x:c r="C15" s="2" t="str">
        <x:v>Market value of preferred equity</x:v>
      </x:c>
      <x:c r="D15" s="48"/>
      <x:c r="E15" s="48"/>
      <x:c r="F15" s="48"/>
      <x:c r="G15" s="48"/>
      <x:c r="H15" s="48"/>
      <x:c r="I15" s="48"/>
      <x:c r="J15" s="2"/>
      <x:c r="K15" s="2" t="str">
        <x:v>Enter zero if none.</x:v>
      </x:c>
      <x:c r="L15" s="62"/>
      <x:c r="M15" s="62"/>
    </x:row>
    <x:row r="16" ht="23" customHeight="1">
      <x:c r="A16" s="1"/>
      <x:c r="B16" s="1"/>
      <x:c r="C16" s="2" t="str">
        <x:v>Value of non-controlling interests for EV</x:v>
      </x:c>
      <x:c r="D16" s="48"/>
      <x:c r="E16" s="48"/>
      <x:c r="F16" s="48"/>
      <x:c r="G16" s="48"/>
      <x:c r="H16" s="48"/>
      <x:c r="I16" s="48"/>
      <x:c r="J16" s="2"/>
      <x:c r="K16" s="2" t="str">
        <x:v>If book value is used as proxy, document it.</x:v>
      </x:c>
      <x:c r="L16" s="62"/>
      <x:c r="M16" s="62"/>
    </x:row>
    <x:row r="17" ht="23" customHeight="1">
      <x:c r="A17" s="1"/>
      <x:c r="B17" s="1"/>
      <x:c r="C17" s="20" t="str">
        <x:v>Normalised operating tax rate</x:v>
      </x:c>
      <x:c r="D17" s="70"/>
      <x:c r="E17" s="70"/>
      <x:c r="F17" s="70"/>
      <x:c r="G17" s="70"/>
      <x:c r="H17" s="70"/>
      <x:c r="I17" s="70"/>
      <x:c r="J17" s="2"/>
      <x:c r="K17" s="2" t="str">
        <x:v>Analyst input for NOPAT; 0–100%.</x:v>
      </x:c>
      <x:c r="L17" s="62"/>
      <x:c r="M17" s="62"/>
    </x:row>
    <x:row r="18" ht="23" customHeight="1">
      <x:c r="A18" s="1"/>
      <x:c r="B18" s="1"/>
      <x:c r="C18" s="20" t="str">
        <x:v>Cost of capital (WACC), optional</x:v>
      </x:c>
      <x:c r="D18" s="70"/>
      <x:c r="E18" s="70"/>
      <x:c r="F18" s="70"/>
      <x:c r="G18" s="70"/>
      <x:c r="H18" s="70"/>
      <x:c r="I18" s="70"/>
      <x:c r="J18" s="2"/>
      <x:c r="K18" s="2" t="str">
        <x:v>For ROIC spread and economic profit.</x:v>
      </x:c>
      <x:c r="L18" s="62"/>
      <x:c r="M18" s="62"/>
    </x:row>
    <x:row r="19" ht="23" customHeight="1">
      <x:c r="A19" s="1"/>
      <x:c r="B19" s="1"/>
      <x:c r="C19" s="20" t="str">
        <x:v>Comparable high-grade bond yield</x:v>
      </x:c>
      <x:c r="D19" s="70"/>
      <x:c r="E19" s="70"/>
      <x:c r="F19" s="70"/>
      <x:c r="G19" s="70"/>
      <x:c r="H19" s="70"/>
      <x:c r="I19" s="70"/>
      <x:c r="J19" s="2"/>
      <x:c r="K19" s="2" t="str">
        <x:v>Match currency and valuation date.</x:v>
      </x:c>
      <x:c r="L19" s="62"/>
      <x:c r="M19" s="62"/>
    </x:row>
    <x:row r="20" ht="23" customHeight="1">
      <x:c r="A20" s="1"/>
      <x:c r="B20" s="1"/>
      <x:c r="C20" s="2" t="str">
        <x:v>Annual low share price</x:v>
      </x:c>
      <x:c r="D20" s="50"/>
      <x:c r="E20" s="50"/>
      <x:c r="F20" s="50"/>
      <x:c r="G20" s="50"/>
      <x:c r="H20" s="50"/>
      <x:c r="I20" s="50"/>
      <x:c r="J20" s="2"/>
      <x:c r="K20" s="2"/>
      <x:c r="L20" s="62"/>
      <x:c r="M20" s="62"/>
    </x:row>
    <x:row r="21" ht="23" customHeight="1">
      <x:c r="A21" s="1"/>
      <x:c r="B21" s="1"/>
      <x:c r="C21" s="2" t="str">
        <x:v>Annual high share price</x:v>
      </x:c>
      <x:c r="D21" s="50"/>
      <x:c r="E21" s="50"/>
      <x:c r="F21" s="50"/>
      <x:c r="G21" s="50"/>
      <x:c r="H21" s="50"/>
      <x:c r="I21" s="50"/>
      <x:c r="J21" s="2"/>
      <x:c r="K21" s="2"/>
      <x:c r="L21" s="62"/>
      <x:c r="M21" s="62"/>
    </x:row>
    <x:row r="22" ht="23" customHeight="1">
      <x:c r="A22" s="1"/>
      <x:c r="B22" s="1"/>
      <x:c r="C22" s="2" t="str">
        <x:v>Benchmark price index level</x:v>
      </x:c>
      <x:c r="D22" s="50"/>
      <x:c r="E22" s="50"/>
      <x:c r="F22" s="50"/>
      <x:c r="G22" s="50"/>
      <x:c r="H22" s="50"/>
      <x:c r="I22" s="50"/>
      <x:c r="J22" s="2"/>
      <x:c r="K22" s="2" t="str">
        <x:v>Price-return benchmark; excludes dividends.</x:v>
      </x:c>
      <x:c r="L22" s="62"/>
      <x:c r="M22" s="62"/>
    </x:row>
    <x:row r="23" ht="23" customHeight="1">
      <x:c r="A23" s="1"/>
      <x:c r="B23" s="1"/>
      <x:c r="C23" s="2" t="str">
        <x:v>Producer or wholesale price index level</x:v>
      </x:c>
      <x:c r="D23" s="50"/>
      <x:c r="E23" s="50"/>
      <x:c r="F23" s="50"/>
      <x:c r="G23" s="50"/>
      <x:c r="H23" s="50"/>
      <x:c r="I23" s="50"/>
      <x:c r="J23" s="2"/>
      <x:c r="K23" s="2" t="str">
        <x:v>For inflation context; not a stock-price input.</x:v>
      </x:c>
      <x:c r="L23" s="62"/>
      <x:c r="M23" s="62"/>
    </x:row>
    <x:row r="24" ht="23" customHeight="1">
      <x:c r="A24" s="1"/>
      <x:c r="B24" s="1"/>
      <x:c r="C24" s="20" t="str">
        <x:v>Selected fair P/E multiple</x:v>
      </x:c>
      <x:c r="D24" s="72"/>
      <x:c r="E24" s="72"/>
      <x:c r="F24" s="72"/>
      <x:c r="G24" s="72"/>
      <x:c r="H24" s="72"/>
      <x:c r="I24" s="72"/>
      <x:c r="J24" s="2"/>
      <x:c r="K24" s="2" t="str">
        <x:v>Provide peer or historical evidence beside the input.</x:v>
      </x:c>
      <x:c r="L24" s="62"/>
      <x:c r="M24" s="62"/>
    </x:row>
    <x:row r="25" ht="23" customHeight="1">
      <x:c r="A25" s="1"/>
      <x:c r="B25" s="1"/>
      <x:c r="C25" s="20" t="str">
        <x:v>Selected fair P/B multiple</x:v>
      </x:c>
      <x:c r="D25" s="72"/>
      <x:c r="E25" s="72"/>
      <x:c r="F25" s="72"/>
      <x:c r="G25" s="72"/>
      <x:c r="H25" s="72"/>
      <x:c r="I25" s="72"/>
      <x:c r="J25" s="2"/>
      <x:c r="K25" s="2"/>
      <x:c r="L25" s="62"/>
      <x:c r="M25" s="62"/>
    </x:row>
    <x:row r="26" ht="23" customHeight="1">
      <x:c r="A26" s="1"/>
      <x:c r="B26" s="1"/>
      <x:c r="C26" s="20" t="str">
        <x:v>Selected fair EV/EBITDA multiple</x:v>
      </x:c>
      <x:c r="D26" s="72"/>
      <x:c r="E26" s="72"/>
      <x:c r="F26" s="72"/>
      <x:c r="G26" s="72"/>
      <x:c r="H26" s="72"/>
      <x:c r="I26" s="72"/>
      <x:c r="J26" s="2"/>
      <x:c r="K26" s="2"/>
      <x:c r="L26" s="62"/>
      <x:c r="M26" s="62"/>
    </x:row>
    <x:row r="27" ht="23" customHeight="1">
      <x:c r="A27" s="1"/>
      <x:c r="B27" s="1"/>
      <x:c r="C27" s="20" t="str">
        <x:v>Required margin of safety</x:v>
      </x:c>
      <x:c r="D27" s="70"/>
      <x:c r="E27" s="70"/>
      <x:c r="F27" s="70"/>
      <x:c r="G27" s="70"/>
      <x:c r="H27" s="70"/>
      <x:c r="I27" s="70"/>
      <x:c r="J27" s="2"/>
      <x:c r="K27" s="2" t="str">
        <x:v>Analyst assumption, 0–100%.</x:v>
      </x:c>
      <x:c r="L27" s="62"/>
      <x:c r="M27" s="6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62"/>
      <x:c r="M28" s="62"/>
    </x:row>
    <x:row r="29" ht="23" customHeight="1">
      <x:c r="A29" s="1"/>
      <x:c r="B29" s="1"/>
      <x:c r="C29" s="2"/>
      <x:c r="D29" s="2"/>
      <x:c r="E29" s="2"/>
      <x:c r="F29" s="2"/>
      <x:c r="G29" s="2"/>
      <x:c r="H29" s="2"/>
      <x:c r="I29" s="2"/>
      <x:c r="J29" s="2"/>
      <x:c r="K29" s="2"/>
      <x:c r="L29" s="62"/>
      <x:c r="M29" s="62"/>
    </x:row>
    <x:row r="30" ht="23" customHeight="1">
      <x:c r="A30" s="1"/>
      <x:c r="B30" s="1"/>
      <x:c r="C30" s="2"/>
      <x:c r="D30" s="2"/>
      <x:c r="E30" s="2"/>
      <x:c r="F30" s="2"/>
      <x:c r="G30" s="2"/>
      <x:c r="H30" s="2"/>
      <x:c r="I30" s="2"/>
      <x:c r="J30" s="2"/>
      <x:c r="K30" s="2"/>
      <x:c r="L30" s="62"/>
      <x:c r="M30" s="62"/>
    </x:row>
    <x:row r="32">
      <x:c r="C32" t="str">
        <x:v>Annual report title / fiscal year</x:v>
      </x:c>
      <x:c r="D32" s="64"/>
      <x:c r="E32" s="64"/>
      <x:c r="F32" s="64"/>
      <x:c r="G32" s="64"/>
      <x:c r="H32" s="64"/>
      <x:c r="I32" s="64"/>
    </x:row>
    <x:row r="33">
      <x:c r="C33" t="str">
        <x:v>Report URL</x:v>
      </x:c>
      <x:c r="D33" s="64"/>
      <x:c r="E33" s="64"/>
      <x:c r="F33" s="64"/>
      <x:c r="G33" s="64"/>
      <x:c r="H33" s="64"/>
      <x:c r="I33" s="64"/>
    </x:row>
    <x:row r="34">
      <x:c r="C34" t="str">
        <x:v>Statement page / note</x:v>
      </x:c>
      <x:c r="D34" s="64"/>
      <x:c r="E34" s="64"/>
      <x:c r="F34" s="64"/>
      <x:c r="G34" s="64"/>
      <x:c r="H34" s="64"/>
      <x:c r="I34" s="64"/>
    </x:row>
    <x:row r="35">
      <x:c r="C35" t="str">
        <x:v>Reporting date (enter as date)</x:v>
      </x:c>
      <x:c r="D35" s="64"/>
      <x:c r="E35" s="64"/>
      <x:c r="F35" s="64"/>
      <x:c r="G35" s="64"/>
      <x:c r="H35" s="64"/>
      <x:c r="I35" s="64"/>
    </x:row>
    <x:row r="36">
      <x:c r="C36" t="str">
        <x:v>Restatements / reclassifications</x:v>
      </x:c>
      <x:c r="D36" s="64"/>
      <x:c r="E36" s="64"/>
      <x:c r="F36" s="64"/>
      <x:c r="G36" s="64"/>
      <x:c r="H36" s="64"/>
      <x:c r="I36" s="64"/>
    </x:row>
  </x:sheetData>
  <x:dataValidations count="2">
    <x:dataValidation type="decimal" operator="between" sqref="D17:I17">
      <x:formula1>0</x:formula1>
      <x:formula2>1</x:formula2>
    </x:dataValidation>
    <x:dataValidation type="decimal" operator="between" sqref="D27:I27">
      <x:formula1>0</x:formula1>
      <x:formula2>1</x:formula2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Checks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Differences should be within the tolerance in Setup.</x:v>
      </x:c>
      <x:c r="D3" s="2"/>
      <x:c r="E3" s="2"/>
      <x:c r="F3" s="2"/>
      <x:c r="G3" s="2"/>
      <x:c r="H3" s="2"/>
      <x:c r="I3" s="2"/>
      <x:c r="J3" s="2"/>
      <x:c r="K3" s="2" t="str">
        <x:f>"Currency: "&amp;'Setup'!E9&amp;"   Money scale: "&amp;'Setup'!E10&amp;"   Share scale: "&amp;'Setup'!E11</x:f>
        <x:v>Currency: EUR   Money scale: 1000000   Share scale: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Metric</x:v>
      </x:c>
      <x:c r="D5" s="12" t="n">
        <x:f>'Setup'!$E$12-5</x:f>
        <x:v>2020</x:v>
      </x:c>
      <x:c r="E5" s="12" t="n">
        <x:f>'Setup'!$E$12-4</x:f>
        <x:v>2021</x:v>
      </x:c>
      <x:c r="F5" s="12" t="n">
        <x:f>'Setup'!$E$12-3</x:f>
        <x:v>2022</x:v>
      </x:c>
      <x:c r="G5" s="12" t="n">
        <x:f>'Setup'!$E$12-2</x:f>
        <x:v>2023</x:v>
      </x:c>
      <x:c r="H5" s="12" t="n">
        <x:f>'Setup'!$E$12-1</x:f>
        <x:v>2024</x:v>
      </x:c>
      <x:c r="I5" s="12" t="n">
        <x:f>'Setup'!$E$12-0</x:f>
        <x:v>2025</x:v>
      </x:c>
      <x:c r="J5" s="2"/>
      <x:c r="K5" s="2" t="str">
        <x:v>n.a. is untested, not a passing zero. Detailed checks require all components.</x:v>
      </x:c>
      <x:c r="L5" s="2"/>
      <x:c r="M5" s="2"/>
    </x:row>
    <x:row r="6" ht="23" customHeight="1">
      <x:c r="A6" s="1"/>
      <x:c r="B6" s="1"/>
      <x:c r="C6" s="2"/>
      <x:c r="D6" s="13" t="str">
        <x:v>Opening / prior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Assets less liabilities and equity</x:v>
      </x:c>
      <x:c r="D7" s="74"/>
      <x:c r="E7" s="75" t="str">
        <x:f>IF(COUNT('Balance Sheet'!E29,'Balance Sheet'!E45,'Balance Sheet'!E52)&lt;3,"n.a.",IF(TRUE,'Balance Sheet'!E29-'Balance Sheet'!E45-'Balance Sheet'!E52,"n.a."))</x:f>
        <x:v>n.a.</x:v>
      </x:c>
      <x:c r="F7" s="75" t="str">
        <x:f>IF(COUNT('Balance Sheet'!F29,'Balance Sheet'!F45,'Balance Sheet'!F52)&lt;3,"n.a.",IF(TRUE,'Balance Sheet'!F29-'Balance Sheet'!F45-'Balance Sheet'!F52,"n.a."))</x:f>
        <x:v>n.a.</x:v>
      </x:c>
      <x:c r="G7" s="75" t="str">
        <x:f>IF(COUNT('Balance Sheet'!G29,'Balance Sheet'!G45,'Balance Sheet'!G52)&lt;3,"n.a.",IF(TRUE,'Balance Sheet'!G29-'Balance Sheet'!G45-'Balance Sheet'!G52,"n.a."))</x:f>
        <x:v>n.a.</x:v>
      </x:c>
      <x:c r="H7" s="75" t="str">
        <x:f>IF(COUNT('Balance Sheet'!H29,'Balance Sheet'!H45,'Balance Sheet'!H52)&lt;3,"n.a.",IF(TRUE,'Balance Sheet'!H29-'Balance Sheet'!H45-'Balance Sheet'!H52,"n.a."))</x:f>
        <x:v>n.a.</x:v>
      </x:c>
      <x:c r="I7" s="75" t="str">
        <x:f>IF(COUNT('Balance Sheet'!I29,'Balance Sheet'!I45,'Balance Sheet'!I52)&lt;3,"n.a.",IF(TRUE,'Balance Sheet'!I29-'Balance Sheet'!I45-'Balance Sheet'!I52,"n.a."))</x:f>
        <x:v>n.a.</x:v>
      </x:c>
      <x:c r="J7" s="2"/>
      <x:c r="K7" s="2"/>
      <x:c r="L7" s="2"/>
      <x:c r="M7" s="2"/>
    </x:row>
    <x:row r="8" ht="23" customHeight="1">
      <x:c r="A8" s="1"/>
      <x:c r="B8" s="1"/>
      <x:c r="C8" s="2" t="str">
        <x:v>Assets less current and non-current totals</x:v>
      </x:c>
      <x:c r="D8" s="74"/>
      <x:c r="E8" s="76" t="str">
        <x:f>IF(COUNT('Balance Sheet'!E29,'Balance Sheet'!E17,'Balance Sheet'!E28)&lt;3,"n.a.",IF(TRUE,'Balance Sheet'!E29-'Balance Sheet'!E17-'Balance Sheet'!E28,"n.a."))</x:f>
        <x:v>n.a.</x:v>
      </x:c>
      <x:c r="F8" s="76" t="str">
        <x:f>IF(COUNT('Balance Sheet'!F29,'Balance Sheet'!F17,'Balance Sheet'!F28)&lt;3,"n.a.",IF(TRUE,'Balance Sheet'!F29-'Balance Sheet'!F17-'Balance Sheet'!F28,"n.a."))</x:f>
        <x:v>n.a.</x:v>
      </x:c>
      <x:c r="G8" s="76" t="str">
        <x:f>IF(COUNT('Balance Sheet'!G29,'Balance Sheet'!G17,'Balance Sheet'!G28)&lt;3,"n.a.",IF(TRUE,'Balance Sheet'!G29-'Balance Sheet'!G17-'Balance Sheet'!G28,"n.a."))</x:f>
        <x:v>n.a.</x:v>
      </x:c>
      <x:c r="H8" s="76" t="str">
        <x:f>IF(COUNT('Balance Sheet'!H29,'Balance Sheet'!H17,'Balance Sheet'!H28)&lt;3,"n.a.",IF(TRUE,'Balance Sheet'!H29-'Balance Sheet'!H17-'Balance Sheet'!H28,"n.a."))</x:f>
        <x:v>n.a.</x:v>
      </x:c>
      <x:c r="I8" s="76" t="str">
        <x:f>IF(COUNT('Balance Sheet'!I29,'Balance Sheet'!I17,'Balance Sheet'!I28)&lt;3,"n.a.",IF(TRUE,'Balance Sheet'!I29-'Balance Sheet'!I17-'Balance Sheet'!I28,"n.a."))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" t="str">
        <x:v>Liabilities less current and non-current totals</x:v>
      </x:c>
      <x:c r="D9" s="74"/>
      <x:c r="E9" s="75" t="str">
        <x:f>IF(COUNT('Balance Sheet'!E45,'Balance Sheet'!E37,'Balance Sheet'!E44)&lt;3,"n.a.",IF(TRUE,'Balance Sheet'!E45-'Balance Sheet'!E37-'Balance Sheet'!E44,"n.a."))</x:f>
        <x:v>n.a.</x:v>
      </x:c>
      <x:c r="F9" s="75" t="str">
        <x:f>IF(COUNT('Balance Sheet'!F45,'Balance Sheet'!F37,'Balance Sheet'!F44)&lt;3,"n.a.",IF(TRUE,'Balance Sheet'!F45-'Balance Sheet'!F37-'Balance Sheet'!F44,"n.a."))</x:f>
        <x:v>n.a.</x:v>
      </x:c>
      <x:c r="G9" s="75" t="str">
        <x:f>IF(COUNT('Balance Sheet'!G45,'Balance Sheet'!G37,'Balance Sheet'!G44)&lt;3,"n.a.",IF(TRUE,'Balance Sheet'!G45-'Balance Sheet'!G37-'Balance Sheet'!G44,"n.a."))</x:f>
        <x:v>n.a.</x:v>
      </x:c>
      <x:c r="H9" s="75" t="str">
        <x:f>IF(COUNT('Balance Sheet'!H45,'Balance Sheet'!H37,'Balance Sheet'!H44)&lt;3,"n.a.",IF(TRUE,'Balance Sheet'!H45-'Balance Sheet'!H37-'Balance Sheet'!H44,"n.a."))</x:f>
        <x:v>n.a.</x:v>
      </x:c>
      <x:c r="I9" s="75" t="str">
        <x:f>IF(COUNT('Balance Sheet'!I45,'Balance Sheet'!I37,'Balance Sheet'!I44)&lt;3,"n.a.",IF(TRUE,'Balance Sheet'!I45-'Balance Sheet'!I37-'Balance Sheet'!I44,"n.a."))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" t="str">
        <x:v>Total equity less parent and NCI</x:v>
      </x:c>
      <x:c r="D10" s="74"/>
      <x:c r="E10" s="76" t="str">
        <x:f>IF(COUNT('Balance Sheet'!E52,'Balance Sheet'!E50,'Balance Sheet'!E51)&lt;3,"n.a.",IF(TRUE,'Balance Sheet'!E52-'Balance Sheet'!E50-'Balance Sheet'!E51,"n.a."))</x:f>
        <x:v>n.a.</x:v>
      </x:c>
      <x:c r="F10" s="76" t="str">
        <x:f>IF(COUNT('Balance Sheet'!F52,'Balance Sheet'!F50,'Balance Sheet'!F51)&lt;3,"n.a.",IF(TRUE,'Balance Sheet'!F52-'Balance Sheet'!F50-'Balance Sheet'!F51,"n.a."))</x:f>
        <x:v>n.a.</x:v>
      </x:c>
      <x:c r="G10" s="76" t="str">
        <x:f>IF(COUNT('Balance Sheet'!G52,'Balance Sheet'!G50,'Balance Sheet'!G51)&lt;3,"n.a.",IF(TRUE,'Balance Sheet'!G52-'Balance Sheet'!G50-'Balance Sheet'!G51,"n.a."))</x:f>
        <x:v>n.a.</x:v>
      </x:c>
      <x:c r="H10" s="76" t="str">
        <x:f>IF(COUNT('Balance Sheet'!H52,'Balance Sheet'!H50,'Balance Sheet'!H51)&lt;3,"n.a.",IF(TRUE,'Balance Sheet'!H52-'Balance Sheet'!H50-'Balance Sheet'!H51,"n.a."))</x:f>
        <x:v>n.a.</x:v>
      </x:c>
      <x:c r="I10" s="76" t="str">
        <x:f>IF(COUNT('Balance Sheet'!I52,'Balance Sheet'!I50,'Balance Sheet'!I51)&lt;3,"n.a.",IF(TRUE,'Balance Sheet'!I52-'Balance Sheet'!I50-'Balance Sheet'!I51,"n.a."))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" t="str">
        <x:v>Current assets less component sum</x:v>
      </x:c>
      <x:c r="D11" s="74"/>
      <x:c r="E11" s="75" t="str">
        <x:f>IF(COUNT('Balance Sheet'!E17,'Balance Sheet'!E8,'Balance Sheet'!E9,'Balance Sheet'!E10,'Balance Sheet'!E11,'Balance Sheet'!E12,'Balance Sheet'!E13,'Balance Sheet'!E14,'Balance Sheet'!E15,'Balance Sheet'!E16)&lt;10,"n.a.",IF(TRUE,'Balance Sheet'!E17-'Balance Sheet'!E8-'Balance Sheet'!E9-'Balance Sheet'!E10-'Balance Sheet'!E11-'Balance Sheet'!E12-'Balance Sheet'!E13-'Balance Sheet'!E14-'Balance Sheet'!E15-'Balance Sheet'!E16,"n.a."))</x:f>
        <x:v>n.a.</x:v>
      </x:c>
      <x:c r="F11" s="75" t="str">
        <x:f>IF(COUNT('Balance Sheet'!F17,'Balance Sheet'!F8,'Balance Sheet'!F9,'Balance Sheet'!F10,'Balance Sheet'!F11,'Balance Sheet'!F12,'Balance Sheet'!F13,'Balance Sheet'!F14,'Balance Sheet'!F15,'Balance Sheet'!F16)&lt;10,"n.a.",IF(TRUE,'Balance Sheet'!F17-'Balance Sheet'!F8-'Balance Sheet'!F9-'Balance Sheet'!F10-'Balance Sheet'!F11-'Balance Sheet'!F12-'Balance Sheet'!F13-'Balance Sheet'!F14-'Balance Sheet'!F15-'Balance Sheet'!F16,"n.a."))</x:f>
        <x:v>n.a.</x:v>
      </x:c>
      <x:c r="G11" s="75" t="str">
        <x:f>IF(COUNT('Balance Sheet'!G17,'Balance Sheet'!G8,'Balance Sheet'!G9,'Balance Sheet'!G10,'Balance Sheet'!G11,'Balance Sheet'!G12,'Balance Sheet'!G13,'Balance Sheet'!G14,'Balance Sheet'!G15,'Balance Sheet'!G16)&lt;10,"n.a.",IF(TRUE,'Balance Sheet'!G17-'Balance Sheet'!G8-'Balance Sheet'!G9-'Balance Sheet'!G10-'Balance Sheet'!G11-'Balance Sheet'!G12-'Balance Sheet'!G13-'Balance Sheet'!G14-'Balance Sheet'!G15-'Balance Sheet'!G16,"n.a."))</x:f>
        <x:v>n.a.</x:v>
      </x:c>
      <x:c r="H11" s="75" t="str">
        <x:f>IF(COUNT('Balance Sheet'!H17,'Balance Sheet'!H8,'Balance Sheet'!H9,'Balance Sheet'!H10,'Balance Sheet'!H11,'Balance Sheet'!H12,'Balance Sheet'!H13,'Balance Sheet'!H14,'Balance Sheet'!H15,'Balance Sheet'!H16)&lt;10,"n.a.",IF(TRUE,'Balance Sheet'!H17-'Balance Sheet'!H8-'Balance Sheet'!H9-'Balance Sheet'!H10-'Balance Sheet'!H11-'Balance Sheet'!H12-'Balance Sheet'!H13-'Balance Sheet'!H14-'Balance Sheet'!H15-'Balance Sheet'!H16,"n.a."))</x:f>
        <x:v>n.a.</x:v>
      </x:c>
      <x:c r="I11" s="75" t="str">
        <x:f>IF(COUNT('Balance Sheet'!I17,'Balance Sheet'!I8,'Balance Sheet'!I9,'Balance Sheet'!I10,'Balance Sheet'!I11,'Balance Sheet'!I12,'Balance Sheet'!I13,'Balance Sheet'!I14,'Balance Sheet'!I15,'Balance Sheet'!I16)&lt;10,"n.a.",IF(TRUE,'Balance Sheet'!I17-'Balance Sheet'!I8-'Balance Sheet'!I9-'Balance Sheet'!I10-'Balance Sheet'!I11-'Balance Sheet'!I12-'Balance Sheet'!I13-'Balance Sheet'!I14-'Balance Sheet'!I15-'Balance Sheet'!I16,"n.a."))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" t="str">
        <x:v>Non-current assets less component sum</x:v>
      </x:c>
      <x:c r="D12" s="74"/>
      <x:c r="E12" s="76" t="str">
        <x:f>IF(COUNT('Balance Sheet'!E28,'Balance Sheet'!E19,'Balance Sheet'!E20,'Balance Sheet'!E21,'Balance Sheet'!E22,'Balance Sheet'!E23,'Balance Sheet'!E24,'Balance Sheet'!E25,'Balance Sheet'!E26,'Balance Sheet'!E27)&lt;10,"n.a.",IF(TRUE,'Balance Sheet'!E28-'Balance Sheet'!E19-'Balance Sheet'!E20-'Balance Sheet'!E21-'Balance Sheet'!E22-'Balance Sheet'!E23-'Balance Sheet'!E24-'Balance Sheet'!E25-'Balance Sheet'!E26-'Balance Sheet'!E27,"n.a."))</x:f>
        <x:v>n.a.</x:v>
      </x:c>
      <x:c r="F12" s="76" t="str">
        <x:f>IF(COUNT('Balance Sheet'!F28,'Balance Sheet'!F19,'Balance Sheet'!F20,'Balance Sheet'!F21,'Balance Sheet'!F22,'Balance Sheet'!F23,'Balance Sheet'!F24,'Balance Sheet'!F25,'Balance Sheet'!F26,'Balance Sheet'!F27)&lt;10,"n.a.",IF(TRUE,'Balance Sheet'!F28-'Balance Sheet'!F19-'Balance Sheet'!F20-'Balance Sheet'!F21-'Balance Sheet'!F22-'Balance Sheet'!F23-'Balance Sheet'!F24-'Balance Sheet'!F25-'Balance Sheet'!F26-'Balance Sheet'!F27,"n.a."))</x:f>
        <x:v>n.a.</x:v>
      </x:c>
      <x:c r="G12" s="76" t="str">
        <x:f>IF(COUNT('Balance Sheet'!G28,'Balance Sheet'!G19,'Balance Sheet'!G20,'Balance Sheet'!G21,'Balance Sheet'!G22,'Balance Sheet'!G23,'Balance Sheet'!G24,'Balance Sheet'!G25,'Balance Sheet'!G26,'Balance Sheet'!G27)&lt;10,"n.a.",IF(TRUE,'Balance Sheet'!G28-'Balance Sheet'!G19-'Balance Sheet'!G20-'Balance Sheet'!G21-'Balance Sheet'!G22-'Balance Sheet'!G23-'Balance Sheet'!G24-'Balance Sheet'!G25-'Balance Sheet'!G26-'Balance Sheet'!G27,"n.a."))</x:f>
        <x:v>n.a.</x:v>
      </x:c>
      <x:c r="H12" s="76" t="str">
        <x:f>IF(COUNT('Balance Sheet'!H28,'Balance Sheet'!H19,'Balance Sheet'!H20,'Balance Sheet'!H21,'Balance Sheet'!H22,'Balance Sheet'!H23,'Balance Sheet'!H24,'Balance Sheet'!H25,'Balance Sheet'!H26,'Balance Sheet'!H27)&lt;10,"n.a.",IF(TRUE,'Balance Sheet'!H28-'Balance Sheet'!H19-'Balance Sheet'!H20-'Balance Sheet'!H21-'Balance Sheet'!H22-'Balance Sheet'!H23-'Balance Sheet'!H24-'Balance Sheet'!H25-'Balance Sheet'!H26-'Balance Sheet'!H27,"n.a."))</x:f>
        <x:v>n.a.</x:v>
      </x:c>
      <x:c r="I12" s="76" t="str">
        <x:f>IF(COUNT('Balance Sheet'!I28,'Balance Sheet'!I19,'Balance Sheet'!I20,'Balance Sheet'!I21,'Balance Sheet'!I22,'Balance Sheet'!I23,'Balance Sheet'!I24,'Balance Sheet'!I25,'Balance Sheet'!I26,'Balance Sheet'!I27)&lt;10,"n.a.",IF(TRUE,'Balance Sheet'!I28-'Balance Sheet'!I19-'Balance Sheet'!I20-'Balance Sheet'!I21-'Balance Sheet'!I22-'Balance Sheet'!I23-'Balance Sheet'!I24-'Balance Sheet'!I25-'Balance Sheet'!I26-'Balance Sheet'!I27,"n.a."))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" t="str">
        <x:v>Current liabilities less component sum</x:v>
      </x:c>
      <x:c r="D13" s="74"/>
      <x:c r="E13" s="75" t="str">
        <x:f>IF(COUNT('Balance Sheet'!E37,'Balance Sheet'!E31,'Balance Sheet'!E32,'Balance Sheet'!E33,'Balance Sheet'!E34,'Balance Sheet'!E35,'Balance Sheet'!E36)&lt;7,"n.a.",IF(TRUE,'Balance Sheet'!E37-'Balance Sheet'!E31-'Balance Sheet'!E32-'Balance Sheet'!E33-'Balance Sheet'!E34-'Balance Sheet'!E35-'Balance Sheet'!E36,"n.a."))</x:f>
        <x:v>n.a.</x:v>
      </x:c>
      <x:c r="F13" s="75" t="str">
        <x:f>IF(COUNT('Balance Sheet'!F37,'Balance Sheet'!F31,'Balance Sheet'!F32,'Balance Sheet'!F33,'Balance Sheet'!F34,'Balance Sheet'!F35,'Balance Sheet'!F36)&lt;7,"n.a.",IF(TRUE,'Balance Sheet'!F37-'Balance Sheet'!F31-'Balance Sheet'!F32-'Balance Sheet'!F33-'Balance Sheet'!F34-'Balance Sheet'!F35-'Balance Sheet'!F36,"n.a."))</x:f>
        <x:v>n.a.</x:v>
      </x:c>
      <x:c r="G13" s="75" t="str">
        <x:f>IF(COUNT('Balance Sheet'!G37,'Balance Sheet'!G31,'Balance Sheet'!G32,'Balance Sheet'!G33,'Balance Sheet'!G34,'Balance Sheet'!G35,'Balance Sheet'!G36)&lt;7,"n.a.",IF(TRUE,'Balance Sheet'!G37-'Balance Sheet'!G31-'Balance Sheet'!G32-'Balance Sheet'!G33-'Balance Sheet'!G34-'Balance Sheet'!G35-'Balance Sheet'!G36,"n.a."))</x:f>
        <x:v>n.a.</x:v>
      </x:c>
      <x:c r="H13" s="75" t="str">
        <x:f>IF(COUNT('Balance Sheet'!H37,'Balance Sheet'!H31,'Balance Sheet'!H32,'Balance Sheet'!H33,'Balance Sheet'!H34,'Balance Sheet'!H35,'Balance Sheet'!H36)&lt;7,"n.a.",IF(TRUE,'Balance Sheet'!H37-'Balance Sheet'!H31-'Balance Sheet'!H32-'Balance Sheet'!H33-'Balance Sheet'!H34-'Balance Sheet'!H35-'Balance Sheet'!H36,"n.a."))</x:f>
        <x:v>n.a.</x:v>
      </x:c>
      <x:c r="I13" s="75" t="str">
        <x:f>IF(COUNT('Balance Sheet'!I37,'Balance Sheet'!I31,'Balance Sheet'!I32,'Balance Sheet'!I33,'Balance Sheet'!I34,'Balance Sheet'!I35,'Balance Sheet'!I36)&lt;7,"n.a.",IF(TRUE,'Balance Sheet'!I37-'Balance Sheet'!I31-'Balance Sheet'!I32-'Balance Sheet'!I33-'Balance Sheet'!I34-'Balance Sheet'!I35-'Balance Sheet'!I36,"n.a."))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" t="str">
        <x:v>Non-current liabilities less component sum</x:v>
      </x:c>
      <x:c r="D14" s="74"/>
      <x:c r="E14" s="76" t="str">
        <x:f>IF(COUNT('Balance Sheet'!E44,'Balance Sheet'!E39,'Balance Sheet'!E40,'Balance Sheet'!E41,'Balance Sheet'!E42,'Balance Sheet'!E43)&lt;6,"n.a.",IF(TRUE,'Balance Sheet'!E44-'Balance Sheet'!E39-'Balance Sheet'!E40-'Balance Sheet'!E41-'Balance Sheet'!E42-'Balance Sheet'!E43,"n.a."))</x:f>
        <x:v>n.a.</x:v>
      </x:c>
      <x:c r="F14" s="76" t="str">
        <x:f>IF(COUNT('Balance Sheet'!F44,'Balance Sheet'!F39,'Balance Sheet'!F40,'Balance Sheet'!F41,'Balance Sheet'!F42,'Balance Sheet'!F43)&lt;6,"n.a.",IF(TRUE,'Balance Sheet'!F44-'Balance Sheet'!F39-'Balance Sheet'!F40-'Balance Sheet'!F41-'Balance Sheet'!F42-'Balance Sheet'!F43,"n.a."))</x:f>
        <x:v>n.a.</x:v>
      </x:c>
      <x:c r="G14" s="76" t="str">
        <x:f>IF(COUNT('Balance Sheet'!G44,'Balance Sheet'!G39,'Balance Sheet'!G40,'Balance Sheet'!G41,'Balance Sheet'!G42,'Balance Sheet'!G43)&lt;6,"n.a.",IF(TRUE,'Balance Sheet'!G44-'Balance Sheet'!G39-'Balance Sheet'!G40-'Balance Sheet'!G41-'Balance Sheet'!G42-'Balance Sheet'!G43,"n.a."))</x:f>
        <x:v>n.a.</x:v>
      </x:c>
      <x:c r="H14" s="76" t="str">
        <x:f>IF(COUNT('Balance Sheet'!H44,'Balance Sheet'!H39,'Balance Sheet'!H40,'Balance Sheet'!H41,'Balance Sheet'!H42,'Balance Sheet'!H43)&lt;6,"n.a.",IF(TRUE,'Balance Sheet'!H44-'Balance Sheet'!H39-'Balance Sheet'!H40-'Balance Sheet'!H41-'Balance Sheet'!H42-'Balance Sheet'!H43,"n.a."))</x:f>
        <x:v>n.a.</x:v>
      </x:c>
      <x:c r="I14" s="76" t="str">
        <x:f>IF(COUNT('Balance Sheet'!I44,'Balance Sheet'!I39,'Balance Sheet'!I40,'Balance Sheet'!I41,'Balance Sheet'!I42,'Balance Sheet'!I43)&lt;6,"n.a.",IF(TRUE,'Balance Sheet'!I44-'Balance Sheet'!I39-'Balance Sheet'!I40-'Balance Sheet'!I41-'Balance Sheet'!I42-'Balance Sheet'!I43,"n.a."))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" t="str">
        <x:v>Gross profit less revenue minus cost of sales</x:v>
      </x:c>
      <x:c r="D15" s="74"/>
      <x:c r="E15" s="75" t="str">
        <x:f>IF(COUNT('Income Statement'!E10,'Income Statement'!E8,'Income Statement'!E9)&lt;3,"n.a.",IF(TRUE,'Income Statement'!E10-('Income Statement'!E8-'Income Statement'!E9),"n.a."))</x:f>
        <x:v>n.a.</x:v>
      </x:c>
      <x:c r="F15" s="75" t="str">
        <x:f>IF(COUNT('Income Statement'!F10,'Income Statement'!F8,'Income Statement'!F9)&lt;3,"n.a.",IF(TRUE,'Income Statement'!F10-('Income Statement'!F8-'Income Statement'!F9),"n.a."))</x:f>
        <x:v>n.a.</x:v>
      </x:c>
      <x:c r="G15" s="75" t="str">
        <x:f>IF(COUNT('Income Statement'!G10,'Income Statement'!G8,'Income Statement'!G9)&lt;3,"n.a.",IF(TRUE,'Income Statement'!G10-('Income Statement'!G8-'Income Statement'!G9),"n.a."))</x:f>
        <x:v>n.a.</x:v>
      </x:c>
      <x:c r="H15" s="75" t="str">
        <x:f>IF(COUNT('Income Statement'!H10,'Income Statement'!H8,'Income Statement'!H9)&lt;3,"n.a.",IF(TRUE,'Income Statement'!H10-('Income Statement'!H8-'Income Statement'!H9),"n.a."))</x:f>
        <x:v>n.a.</x:v>
      </x:c>
      <x:c r="I15" s="75" t="str">
        <x:f>IF(COUNT('Income Statement'!I10,'Income Statement'!I8,'Income Statement'!I9)&lt;3,"n.a.",IF(TRUE,'Income Statement'!I10-('Income Statement'!I8-'Income Statement'!I9),"n.a."))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" t="str">
        <x:v>Reported EBIT less operating build</x:v>
      </x:c>
      <x:c r="D16" s="74"/>
      <x:c r="E16" s="76" t="str">
        <x:f>IF(COUNT('Income Statement'!E16,'Income Statement'!E10,'Capital Calculations'!E17,'Income Statement'!E15)&lt;4,"n.a.",IF(TRUE,'Income Statement'!E16-('Income Statement'!E10-'Capital Calculations'!E17+'Income Statement'!E15),"n.a."))</x:f>
        <x:v>n.a.</x:v>
      </x:c>
      <x:c r="F16" s="76" t="str">
        <x:f>IF(COUNT('Income Statement'!F16,'Income Statement'!F10,'Capital Calculations'!F17,'Income Statement'!F15)&lt;4,"n.a.",IF(TRUE,'Income Statement'!F16-('Income Statement'!F10-'Capital Calculations'!F17+'Income Statement'!F15),"n.a."))</x:f>
        <x:v>n.a.</x:v>
      </x:c>
      <x:c r="G16" s="76" t="str">
        <x:f>IF(COUNT('Income Statement'!G16,'Income Statement'!G10,'Capital Calculations'!G17,'Income Statement'!G15)&lt;4,"n.a.",IF(TRUE,'Income Statement'!G16-('Income Statement'!G10-'Capital Calculations'!G17+'Income Statement'!G15),"n.a."))</x:f>
        <x:v>n.a.</x:v>
      </x:c>
      <x:c r="H16" s="76" t="str">
        <x:f>IF(COUNT('Income Statement'!H16,'Income Statement'!H10,'Capital Calculations'!H17,'Income Statement'!H15)&lt;4,"n.a.",IF(TRUE,'Income Statement'!H16-('Income Statement'!H10-'Capital Calculations'!H17+'Income Statement'!H15),"n.a."))</x:f>
        <x:v>n.a.</x:v>
      </x:c>
      <x:c r="I16" s="76" t="str">
        <x:f>IF(COUNT('Income Statement'!I16,'Income Statement'!I10,'Capital Calculations'!I17,'Income Statement'!I15)&lt;4,"n.a.",IF(TRUE,'Income Statement'!I16-('Income Statement'!I10-'Capital Calculations'!I17+'Income Statement'!I15),"n.a."))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" t="str">
        <x:v>Pre-tax profit less profit bridge</x:v>
      </x:c>
      <x:c r="D17" s="74"/>
      <x:c r="E17" s="75" t="str">
        <x:f>IF(COUNT('Income Statement'!E25,'Income Statement'!E16,'Income Statement'!E20,'Income Statement'!E21,'Income Statement'!E23,'Income Statement'!E24)&lt;6,"n.a.",IF(TRUE,'Income Statement'!E25-('Income Statement'!E16+'Income Statement'!E20-'Income Statement'!E21+'Income Statement'!E23+'Income Statement'!E24),"n.a."))</x:f>
        <x:v>n.a.</x:v>
      </x:c>
      <x:c r="F17" s="75" t="str">
        <x:f>IF(COUNT('Income Statement'!F25,'Income Statement'!F16,'Income Statement'!F20,'Income Statement'!F21,'Income Statement'!F23,'Income Statement'!F24)&lt;6,"n.a.",IF(TRUE,'Income Statement'!F25-('Income Statement'!F16+'Income Statement'!F20-'Income Statement'!F21+'Income Statement'!F23+'Income Statement'!F24),"n.a."))</x:f>
        <x:v>n.a.</x:v>
      </x:c>
      <x:c r="G17" s="75" t="str">
        <x:f>IF(COUNT('Income Statement'!G25,'Income Statement'!G16,'Income Statement'!G20,'Income Statement'!G21,'Income Statement'!G23,'Income Statement'!G24)&lt;6,"n.a.",IF(TRUE,'Income Statement'!G25-('Income Statement'!G16+'Income Statement'!G20-'Income Statement'!G21+'Income Statement'!G23+'Income Statement'!G24),"n.a."))</x:f>
        <x:v>n.a.</x:v>
      </x:c>
      <x:c r="H17" s="75" t="str">
        <x:f>IF(COUNT('Income Statement'!H25,'Income Statement'!H16,'Income Statement'!H20,'Income Statement'!H21,'Income Statement'!H23,'Income Statement'!H24)&lt;6,"n.a.",IF(TRUE,'Income Statement'!H25-('Income Statement'!H16+'Income Statement'!H20-'Income Statement'!H21+'Income Statement'!H23+'Income Statement'!H24),"n.a."))</x:f>
        <x:v>n.a.</x:v>
      </x:c>
      <x:c r="I17" s="75" t="str">
        <x:f>IF(COUNT('Income Statement'!I25,'Income Statement'!I16,'Income Statement'!I20,'Income Statement'!I21,'Income Statement'!I23,'Income Statement'!I24)&lt;6,"n.a.",IF(TRUE,'Income Statement'!I25-('Income Statement'!I16+'Income Statement'!I20-'Income Statement'!I21+'Income Statement'!I23+'Income Statement'!I24),"n.a."))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 t="str">
        <x:v>Net profit less tax and discontinued bridge</x:v>
      </x:c>
      <x:c r="D18" s="74"/>
      <x:c r="E18" s="76" t="str">
        <x:f>IF(COUNT('Income Statement'!E28,'Income Statement'!E25,'Income Statement'!E26,'Income Statement'!E27)&lt;4,"n.a.",IF(TRUE,'Income Statement'!E28-('Income Statement'!E25-'Income Statement'!E26+'Income Statement'!E27),"n.a."))</x:f>
        <x:v>n.a.</x:v>
      </x:c>
      <x:c r="F18" s="76" t="str">
        <x:f>IF(COUNT('Income Statement'!F28,'Income Statement'!F25,'Income Statement'!F26,'Income Statement'!F27)&lt;4,"n.a.",IF(TRUE,'Income Statement'!F28-('Income Statement'!F25-'Income Statement'!F26+'Income Statement'!F27),"n.a."))</x:f>
        <x:v>n.a.</x:v>
      </x:c>
      <x:c r="G18" s="76" t="str">
        <x:f>IF(COUNT('Income Statement'!G28,'Income Statement'!G25,'Income Statement'!G26,'Income Statement'!G27)&lt;4,"n.a.",IF(TRUE,'Income Statement'!G28-('Income Statement'!G25-'Income Statement'!G26+'Income Statement'!G27),"n.a."))</x:f>
        <x:v>n.a.</x:v>
      </x:c>
      <x:c r="H18" s="76" t="str">
        <x:f>IF(COUNT('Income Statement'!H28,'Income Statement'!H25,'Income Statement'!H26,'Income Statement'!H27)&lt;4,"n.a.",IF(TRUE,'Income Statement'!H28-('Income Statement'!H25-'Income Statement'!H26+'Income Statement'!H27),"n.a."))</x:f>
        <x:v>n.a.</x:v>
      </x:c>
      <x:c r="I18" s="76" t="str">
        <x:f>IF(COUNT('Income Statement'!I28,'Income Statement'!I25,'Income Statement'!I26,'Income Statement'!I27)&lt;4,"n.a.",IF(TRUE,'Income Statement'!I28-('Income Statement'!I25-'Income Statement'!I26+'Income Statement'!I27),"n.a."))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" t="str">
        <x:v>Group net profit less parent and NCI</x:v>
      </x:c>
      <x:c r="D19" s="74"/>
      <x:c r="E19" s="75" t="str">
        <x:f>IF(COUNT('Income Statement'!E28,'Income Statement'!E29,'Income Statement'!E30)&lt;3,"n.a.",IF(TRUE,'Income Statement'!E28-'Income Statement'!E29-'Income Statement'!E30,"n.a."))</x:f>
        <x:v>n.a.</x:v>
      </x:c>
      <x:c r="F19" s="75" t="str">
        <x:f>IF(COUNT('Income Statement'!F28,'Income Statement'!F29,'Income Statement'!F30)&lt;3,"n.a.",IF(TRUE,'Income Statement'!F28-'Income Statement'!F29-'Income Statement'!F30,"n.a."))</x:f>
        <x:v>n.a.</x:v>
      </x:c>
      <x:c r="G19" s="75" t="str">
        <x:f>IF(COUNT('Income Statement'!G28,'Income Statement'!G29,'Income Statement'!G30)&lt;3,"n.a.",IF(TRUE,'Income Statement'!G28-'Income Statement'!G29-'Income Statement'!G30,"n.a."))</x:f>
        <x:v>n.a.</x:v>
      </x:c>
      <x:c r="H19" s="75" t="str">
        <x:f>IF(COUNT('Income Statement'!H28,'Income Statement'!H29,'Income Statement'!H30)&lt;3,"n.a.",IF(TRUE,'Income Statement'!H28-'Income Statement'!H29-'Income Statement'!H30,"n.a."))</x:f>
        <x:v>n.a.</x:v>
      </x:c>
      <x:c r="I19" s="75" t="str">
        <x:f>IF(COUNT('Income Statement'!I28,'Income Statement'!I29,'Income Statement'!I30)&lt;3,"n.a.",IF(TRUE,'Income Statement'!I28-'Income Statement'!I29-'Income Statement'!I30,"n.a."))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" t="str">
        <x:v>Reported EBITDA less EBIT plus D&amp;A</x:v>
      </x:c>
      <x:c r="D20" s="74"/>
      <x:c r="E20" s="76" t="str">
        <x:f>IF(COUNT('Income Statement'!E18,'Capital Calculations'!E16)&lt;2,"n.a.",IF(TRUE,'Income Statement'!E18-'Capital Calculations'!E16,"n.a."))</x:f>
        <x:v>n.a.</x:v>
      </x:c>
      <x:c r="F20" s="76" t="str">
        <x:f>IF(COUNT('Income Statement'!F18,'Capital Calculations'!F16)&lt;2,"n.a.",IF(TRUE,'Income Statement'!F18-'Capital Calculations'!F16,"n.a."))</x:f>
        <x:v>n.a.</x:v>
      </x:c>
      <x:c r="G20" s="76" t="str">
        <x:f>IF(COUNT('Income Statement'!G18,'Capital Calculations'!G16)&lt;2,"n.a.",IF(TRUE,'Income Statement'!G18-'Capital Calculations'!G16,"n.a."))</x:f>
        <x:v>n.a.</x:v>
      </x:c>
      <x:c r="H20" s="76" t="str">
        <x:f>IF(COUNT('Income Statement'!H18,'Capital Calculations'!H16)&lt;2,"n.a.",IF(TRUE,'Income Statement'!H18-'Capital Calculations'!H16,"n.a."))</x:f>
        <x:v>n.a.</x:v>
      </x:c>
      <x:c r="I20" s="76" t="str">
        <x:f>IF(COUNT('Income Statement'!I18,'Capital Calculations'!I16)&lt;2,"n.a.",IF(TRUE,'Income Statement'!I18-'Capital Calculations'!I16,"n.a."))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" t="str">
        <x:v>Reported CFO less indirect-method components</x:v>
      </x:c>
      <x:c r="D21" s="74"/>
      <x:c r="E21" s="75" t="str">
        <x:f>IF(COUNT('Cash Flow Statement'!E18,'Cash Flow Statement'!E8,'Cash Flow Statement'!E9,'Cash Flow Statement'!E10,'Cash Flow Statement'!E11,'Cash Flow Statement'!E12,'Cash Flow Statement'!E13,'Cash Flow Statement'!E14,'Cash Flow Statement'!E15,'Cash Flow Statement'!E16,'Cash Flow Statement'!E17)&lt;11,"n.a.",IF(TRUE,'Cash Flow Statement'!E18-'Cash Flow Statement'!E8-'Cash Flow Statement'!E9-'Cash Flow Statement'!E10-'Cash Flow Statement'!E11-'Cash Flow Statement'!E12-'Cash Flow Statement'!E13-'Cash Flow Statement'!E14-'Cash Flow Statement'!E15-'Cash Flow Statement'!E16-'Cash Flow Statement'!E17,"n.a."))</x:f>
        <x:v>n.a.</x:v>
      </x:c>
      <x:c r="F21" s="75" t="str">
        <x:f>IF(COUNT('Cash Flow Statement'!F18,'Cash Flow Statement'!F8,'Cash Flow Statement'!F9,'Cash Flow Statement'!F10,'Cash Flow Statement'!F11,'Cash Flow Statement'!F12,'Cash Flow Statement'!F13,'Cash Flow Statement'!F14,'Cash Flow Statement'!F15,'Cash Flow Statement'!F16,'Cash Flow Statement'!F17)&lt;11,"n.a.",IF(TRUE,'Cash Flow Statement'!F18-'Cash Flow Statement'!F8-'Cash Flow Statement'!F9-'Cash Flow Statement'!F10-'Cash Flow Statement'!F11-'Cash Flow Statement'!F12-'Cash Flow Statement'!F13-'Cash Flow Statement'!F14-'Cash Flow Statement'!F15-'Cash Flow Statement'!F16-'Cash Flow Statement'!F17,"n.a."))</x:f>
        <x:v>n.a.</x:v>
      </x:c>
      <x:c r="G21" s="75" t="str">
        <x:f>IF(COUNT('Cash Flow Statement'!G18,'Cash Flow Statement'!G8,'Cash Flow Statement'!G9,'Cash Flow Statement'!G10,'Cash Flow Statement'!G11,'Cash Flow Statement'!G12,'Cash Flow Statement'!G13,'Cash Flow Statement'!G14,'Cash Flow Statement'!G15,'Cash Flow Statement'!G16,'Cash Flow Statement'!G17)&lt;11,"n.a.",IF(TRUE,'Cash Flow Statement'!G18-'Cash Flow Statement'!G8-'Cash Flow Statement'!G9-'Cash Flow Statement'!G10-'Cash Flow Statement'!G11-'Cash Flow Statement'!G12-'Cash Flow Statement'!G13-'Cash Flow Statement'!G14-'Cash Flow Statement'!G15-'Cash Flow Statement'!G16-'Cash Flow Statement'!G17,"n.a."))</x:f>
        <x:v>n.a.</x:v>
      </x:c>
      <x:c r="H21" s="75" t="str">
        <x:f>IF(COUNT('Cash Flow Statement'!H18,'Cash Flow Statement'!H8,'Cash Flow Statement'!H9,'Cash Flow Statement'!H10,'Cash Flow Statement'!H11,'Cash Flow Statement'!H12,'Cash Flow Statement'!H13,'Cash Flow Statement'!H14,'Cash Flow Statement'!H15,'Cash Flow Statement'!H16,'Cash Flow Statement'!H17)&lt;11,"n.a.",IF(TRUE,'Cash Flow Statement'!H18-'Cash Flow Statement'!H8-'Cash Flow Statement'!H9-'Cash Flow Statement'!H10-'Cash Flow Statement'!H11-'Cash Flow Statement'!H12-'Cash Flow Statement'!H13-'Cash Flow Statement'!H14-'Cash Flow Statement'!H15-'Cash Flow Statement'!H16-'Cash Flow Statement'!H17,"n.a."))</x:f>
        <x:v>n.a.</x:v>
      </x:c>
      <x:c r="I21" s="75" t="str">
        <x:f>IF(COUNT('Cash Flow Statement'!I18,'Cash Flow Statement'!I8,'Cash Flow Statement'!I9,'Cash Flow Statement'!I10,'Cash Flow Statement'!I11,'Cash Flow Statement'!I12,'Cash Flow Statement'!I13,'Cash Flow Statement'!I14,'Cash Flow Statement'!I15,'Cash Flow Statement'!I16,'Cash Flow Statement'!I17)&lt;11,"n.a.",IF(TRUE,'Cash Flow Statement'!I18-'Cash Flow Statement'!I8-'Cash Flow Statement'!I9-'Cash Flow Statement'!I10-'Cash Flow Statement'!I11-'Cash Flow Statement'!I12-'Cash Flow Statement'!I13-'Cash Flow Statement'!I14-'Cash Flow Statement'!I15-'Cash Flow Statement'!I16-'Cash Flow Statement'!I17,"n.a."))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" t="str">
        <x:v>Reported investing CF less components</x:v>
      </x:c>
      <x:c r="D22" s="74"/>
      <x:c r="E22" s="76" t="str">
        <x:f>IF(COUNT('Cash Flow Statement'!E27,'Cash Flow Statement'!E20,'Cash Flow Statement'!E21,'Cash Flow Statement'!E22,'Cash Flow Statement'!E23,'Cash Flow Statement'!E24,'Cash Flow Statement'!E25,'Cash Flow Statement'!E26)&lt;8,"n.a.",IF(TRUE,'Cash Flow Statement'!E27-'Cash Flow Statement'!E20-'Cash Flow Statement'!E21-'Cash Flow Statement'!E22-'Cash Flow Statement'!E23-'Cash Flow Statement'!E24-'Cash Flow Statement'!E25-'Cash Flow Statement'!E26,"n.a."))</x:f>
        <x:v>n.a.</x:v>
      </x:c>
      <x:c r="F22" s="76" t="str">
        <x:f>IF(COUNT('Cash Flow Statement'!F27,'Cash Flow Statement'!F20,'Cash Flow Statement'!F21,'Cash Flow Statement'!F22,'Cash Flow Statement'!F23,'Cash Flow Statement'!F24,'Cash Flow Statement'!F25,'Cash Flow Statement'!F26)&lt;8,"n.a.",IF(TRUE,'Cash Flow Statement'!F27-'Cash Flow Statement'!F20-'Cash Flow Statement'!F21-'Cash Flow Statement'!F22-'Cash Flow Statement'!F23-'Cash Flow Statement'!F24-'Cash Flow Statement'!F25-'Cash Flow Statement'!F26,"n.a."))</x:f>
        <x:v>n.a.</x:v>
      </x:c>
      <x:c r="G22" s="76" t="str">
        <x:f>IF(COUNT('Cash Flow Statement'!G27,'Cash Flow Statement'!G20,'Cash Flow Statement'!G21,'Cash Flow Statement'!G22,'Cash Flow Statement'!G23,'Cash Flow Statement'!G24,'Cash Flow Statement'!G25,'Cash Flow Statement'!G26)&lt;8,"n.a.",IF(TRUE,'Cash Flow Statement'!G27-'Cash Flow Statement'!G20-'Cash Flow Statement'!G21-'Cash Flow Statement'!G22-'Cash Flow Statement'!G23-'Cash Flow Statement'!G24-'Cash Flow Statement'!G25-'Cash Flow Statement'!G26,"n.a."))</x:f>
        <x:v>n.a.</x:v>
      </x:c>
      <x:c r="H22" s="76" t="str">
        <x:f>IF(COUNT('Cash Flow Statement'!H27,'Cash Flow Statement'!H20,'Cash Flow Statement'!H21,'Cash Flow Statement'!H22,'Cash Flow Statement'!H23,'Cash Flow Statement'!H24,'Cash Flow Statement'!H25,'Cash Flow Statement'!H26)&lt;8,"n.a.",IF(TRUE,'Cash Flow Statement'!H27-'Cash Flow Statement'!H20-'Cash Flow Statement'!H21-'Cash Flow Statement'!H22-'Cash Flow Statement'!H23-'Cash Flow Statement'!H24-'Cash Flow Statement'!H25-'Cash Flow Statement'!H26,"n.a."))</x:f>
        <x:v>n.a.</x:v>
      </x:c>
      <x:c r="I22" s="76" t="str">
        <x:f>IF(COUNT('Cash Flow Statement'!I27,'Cash Flow Statement'!I20,'Cash Flow Statement'!I21,'Cash Flow Statement'!I22,'Cash Flow Statement'!I23,'Cash Flow Statement'!I24,'Cash Flow Statement'!I25,'Cash Flow Statement'!I26)&lt;8,"n.a.",IF(TRUE,'Cash Flow Statement'!I27-'Cash Flow Statement'!I20-'Cash Flow Statement'!I21-'Cash Flow Statement'!I22-'Cash Flow Statement'!I23-'Cash Flow Statement'!I24-'Cash Flow Statement'!I25-'Cash Flow Statement'!I26,"n.a."))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" t="str">
        <x:v>Reported financing CF less components</x:v>
      </x:c>
      <x:c r="D23" s="74"/>
      <x:c r="E23" s="75" t="str">
        <x:f>IF(COUNT('Cash Flow Statement'!E37,'Cash Flow Statement'!E29,'Cash Flow Statement'!E30,'Cash Flow Statement'!E31,'Cash Flow Statement'!E32,'Cash Flow Statement'!E33,'Cash Flow Statement'!E34,'Cash Flow Statement'!E35,'Cash Flow Statement'!E36)&lt;9,"n.a.",IF(TRUE,'Cash Flow Statement'!E37-'Cash Flow Statement'!E29-'Cash Flow Statement'!E30-'Cash Flow Statement'!E31-'Cash Flow Statement'!E32-'Cash Flow Statement'!E33-'Cash Flow Statement'!E34-'Cash Flow Statement'!E35-'Cash Flow Statement'!E36,"n.a."))</x:f>
        <x:v>n.a.</x:v>
      </x:c>
      <x:c r="F23" s="75" t="str">
        <x:f>IF(COUNT('Cash Flow Statement'!F37,'Cash Flow Statement'!F29,'Cash Flow Statement'!F30,'Cash Flow Statement'!F31,'Cash Flow Statement'!F32,'Cash Flow Statement'!F33,'Cash Flow Statement'!F34,'Cash Flow Statement'!F35,'Cash Flow Statement'!F36)&lt;9,"n.a.",IF(TRUE,'Cash Flow Statement'!F37-'Cash Flow Statement'!F29-'Cash Flow Statement'!F30-'Cash Flow Statement'!F31-'Cash Flow Statement'!F32-'Cash Flow Statement'!F33-'Cash Flow Statement'!F34-'Cash Flow Statement'!F35-'Cash Flow Statement'!F36,"n.a."))</x:f>
        <x:v>n.a.</x:v>
      </x:c>
      <x:c r="G23" s="75" t="str">
        <x:f>IF(COUNT('Cash Flow Statement'!G37,'Cash Flow Statement'!G29,'Cash Flow Statement'!G30,'Cash Flow Statement'!G31,'Cash Flow Statement'!G32,'Cash Flow Statement'!G33,'Cash Flow Statement'!G34,'Cash Flow Statement'!G35,'Cash Flow Statement'!G36)&lt;9,"n.a.",IF(TRUE,'Cash Flow Statement'!G37-'Cash Flow Statement'!G29-'Cash Flow Statement'!G30-'Cash Flow Statement'!G31-'Cash Flow Statement'!G32-'Cash Flow Statement'!G33-'Cash Flow Statement'!G34-'Cash Flow Statement'!G35-'Cash Flow Statement'!G36,"n.a."))</x:f>
        <x:v>n.a.</x:v>
      </x:c>
      <x:c r="H23" s="75" t="str">
        <x:f>IF(COUNT('Cash Flow Statement'!H37,'Cash Flow Statement'!H29,'Cash Flow Statement'!H30,'Cash Flow Statement'!H31,'Cash Flow Statement'!H32,'Cash Flow Statement'!H33,'Cash Flow Statement'!H34,'Cash Flow Statement'!H35,'Cash Flow Statement'!H36)&lt;9,"n.a.",IF(TRUE,'Cash Flow Statement'!H37-'Cash Flow Statement'!H29-'Cash Flow Statement'!H30-'Cash Flow Statement'!H31-'Cash Flow Statement'!H32-'Cash Flow Statement'!H33-'Cash Flow Statement'!H34-'Cash Flow Statement'!H35-'Cash Flow Statement'!H36,"n.a."))</x:f>
        <x:v>n.a.</x:v>
      </x:c>
      <x:c r="I23" s="75" t="str">
        <x:f>IF(COUNT('Cash Flow Statement'!I37,'Cash Flow Statement'!I29,'Cash Flow Statement'!I30,'Cash Flow Statement'!I31,'Cash Flow Statement'!I32,'Cash Flow Statement'!I33,'Cash Flow Statement'!I34,'Cash Flow Statement'!I35,'Cash Flow Statement'!I36)&lt;9,"n.a.",IF(TRUE,'Cash Flow Statement'!I37-'Cash Flow Statement'!I29-'Cash Flow Statement'!I30-'Cash Flow Statement'!I31-'Cash Flow Statement'!I32-'Cash Flow Statement'!I33-'Cash Flow Statement'!I34-'Cash Flow Statement'!I35-'Cash Flow Statement'!I36,"n.a."))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" t="str">
        <x:v>Closing cash less opening cash and net flows</x:v>
      </x:c>
      <x:c r="D24" s="74"/>
      <x:c r="E24" s="76" t="str">
        <x:f>IF(COUNT('Cash Flow Statement'!E41,'Cash Flow Statement'!E40,'Cash Flow Quality'!E20)&lt;3,"n.a.",IF(TRUE,'Cash Flow Statement'!E41-'Cash Flow Statement'!E40-'Cash Flow Quality'!E20,"n.a."))</x:f>
        <x:v>n.a.</x:v>
      </x:c>
      <x:c r="F24" s="76" t="str">
        <x:f>IF(COUNT('Cash Flow Statement'!F41,'Cash Flow Statement'!F40,'Cash Flow Quality'!F20)&lt;3,"n.a.",IF(TRUE,'Cash Flow Statement'!F41-'Cash Flow Statement'!F40-'Cash Flow Quality'!F20,"n.a."))</x:f>
        <x:v>n.a.</x:v>
      </x:c>
      <x:c r="G24" s="76" t="str">
        <x:f>IF(COUNT('Cash Flow Statement'!G41,'Cash Flow Statement'!G40,'Cash Flow Quality'!G20)&lt;3,"n.a.",IF(TRUE,'Cash Flow Statement'!G41-'Cash Flow Statement'!G40-'Cash Flow Quality'!G20,"n.a."))</x:f>
        <x:v>n.a.</x:v>
      </x:c>
      <x:c r="H24" s="76" t="str">
        <x:f>IF(COUNT('Cash Flow Statement'!H41,'Cash Flow Statement'!H40,'Cash Flow Quality'!H20)&lt;3,"n.a.",IF(TRUE,'Cash Flow Statement'!H41-'Cash Flow Statement'!H40-'Cash Flow Quality'!H20,"n.a."))</x:f>
        <x:v>n.a.</x:v>
      </x:c>
      <x:c r="I24" s="76" t="str">
        <x:f>IF(COUNT('Cash Flow Statement'!I41,'Cash Flow Statement'!I40,'Cash Flow Quality'!I20)&lt;3,"n.a.",IF(TRUE,'Cash Flow Statement'!I41-'Cash Flow Statement'!I40-'Cash Flow Quality'!I20,"n.a."))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2" t="str">
        <x:v>CF cash less balance cash and explained difference</x:v>
      </x:c>
      <x:c r="D25" s="74"/>
      <x:c r="E25" s="75" t="str">
        <x:f>IF(COUNT('Cash Flow Statement'!E41,'Balance Sheet'!E8,'Cash Flow Statement'!E42)&lt;3,"n.a.",IF(TRUE,'Cash Flow Statement'!E41-'Balance Sheet'!E8-'Cash Flow Statement'!E42,"n.a."))</x:f>
        <x:v>n.a.</x:v>
      </x:c>
      <x:c r="F25" s="75" t="str">
        <x:f>IF(COUNT('Cash Flow Statement'!F41,'Balance Sheet'!F8,'Cash Flow Statement'!F42)&lt;3,"n.a.",IF(TRUE,'Cash Flow Statement'!F41-'Balance Sheet'!F8-'Cash Flow Statement'!F42,"n.a."))</x:f>
        <x:v>n.a.</x:v>
      </x:c>
      <x:c r="G25" s="75" t="str">
        <x:f>IF(COUNT('Cash Flow Statement'!G41,'Balance Sheet'!G8,'Cash Flow Statement'!G42)&lt;3,"n.a.",IF(TRUE,'Cash Flow Statement'!G41-'Balance Sheet'!G8-'Cash Flow Statement'!G42,"n.a."))</x:f>
        <x:v>n.a.</x:v>
      </x:c>
      <x:c r="H25" s="75" t="str">
        <x:f>IF(COUNT('Cash Flow Statement'!H41,'Balance Sheet'!H8,'Cash Flow Statement'!H42)&lt;3,"n.a.",IF(TRUE,'Cash Flow Statement'!H41-'Balance Sheet'!H8-'Cash Flow Statement'!H42,"n.a."))</x:f>
        <x:v>n.a.</x:v>
      </x:c>
      <x:c r="I25" s="75" t="str">
        <x:f>IF(COUNT('Cash Flow Statement'!I41,'Balance Sheet'!I8,'Cash Flow Statement'!I42)&lt;3,"n.a.",IF(TRUE,'Cash Flow Statement'!I41-'Balance Sheet'!I8-'Cash Flow Statement'!I42,"n.a."))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2" t="str">
        <x:v>Opening cash less previous closing cash</x:v>
      </x:c>
      <x:c r="D26" s="74"/>
      <x:c r="E26" s="76" t="str">
        <x:f>IF(COUNT('Cash Flow Statement'!E40,'Cash Flow Statement'!D41)&lt;2,"n.a.",IF(TRUE,'Cash Flow Statement'!E40-'Cash Flow Statement'!D41,"n.a."))</x:f>
        <x:v>n.a.</x:v>
      </x:c>
      <x:c r="F26" s="76" t="str">
        <x:f>IF(COUNT('Cash Flow Statement'!F40,'Cash Flow Statement'!E41)&lt;2,"n.a.",IF(TRUE,'Cash Flow Statement'!F40-'Cash Flow Statement'!E41,"n.a."))</x:f>
        <x:v>n.a.</x:v>
      </x:c>
      <x:c r="G26" s="76" t="str">
        <x:f>IF(COUNT('Cash Flow Statement'!G40,'Cash Flow Statement'!F41)&lt;2,"n.a.",IF(TRUE,'Cash Flow Statement'!G40-'Cash Flow Statement'!F41,"n.a."))</x:f>
        <x:v>n.a.</x:v>
      </x:c>
      <x:c r="H26" s="76" t="str">
        <x:f>IF(COUNT('Cash Flow Statement'!H40,'Cash Flow Statement'!G41)&lt;2,"n.a.",IF(TRUE,'Cash Flow Statement'!H40-'Cash Flow Statement'!G41,"n.a."))</x:f>
        <x:v>n.a.</x:v>
      </x:c>
      <x:c r="I26" s="76" t="str">
        <x:f>IF(COUNT('Cash Flow Statement'!I40,'Cash Flow Statement'!H41)&lt;2,"n.a.",IF(TRUE,'Cash Flow Statement'!I40-'Cash Flow Statement'!H41,"n.a."))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2" t="str">
        <x:v>Closing equity less opening and changes</x:v>
      </x:c>
      <x:c r="D27" s="74"/>
      <x:c r="E27" s="75" t="str">
        <x:f>IF(COUNT('Changes in Equity'!E15,'Changes in Equity'!E7,'Changes in Equity'!E8,'Changes in Equity'!E9,'Changes in Equity'!E10,'Changes in Equity'!E11,'Changes in Equity'!E12,'Changes in Equity'!E13,'Changes in Equity'!E14)&lt;9,"n.a.",IF(TRUE,'Changes in Equity'!E15-'Changes in Equity'!E7-'Changes in Equity'!E8-'Changes in Equity'!E9-'Changes in Equity'!E10-'Changes in Equity'!E11-'Changes in Equity'!E12-'Changes in Equity'!E13-'Changes in Equity'!E14,"n.a."))</x:f>
        <x:v>n.a.</x:v>
      </x:c>
      <x:c r="F27" s="75" t="str">
        <x:f>IF(COUNT('Changes in Equity'!F15,'Changes in Equity'!F7,'Changes in Equity'!F8,'Changes in Equity'!F9,'Changes in Equity'!F10,'Changes in Equity'!F11,'Changes in Equity'!F12,'Changes in Equity'!F13,'Changes in Equity'!F14)&lt;9,"n.a.",IF(TRUE,'Changes in Equity'!F15-'Changes in Equity'!F7-'Changes in Equity'!F8-'Changes in Equity'!F9-'Changes in Equity'!F10-'Changes in Equity'!F11-'Changes in Equity'!F12-'Changes in Equity'!F13-'Changes in Equity'!F14,"n.a."))</x:f>
        <x:v>n.a.</x:v>
      </x:c>
      <x:c r="G27" s="75" t="str">
        <x:f>IF(COUNT('Changes in Equity'!G15,'Changes in Equity'!G7,'Changes in Equity'!G8,'Changes in Equity'!G9,'Changes in Equity'!G10,'Changes in Equity'!G11,'Changes in Equity'!G12,'Changes in Equity'!G13,'Changes in Equity'!G14)&lt;9,"n.a.",IF(TRUE,'Changes in Equity'!G15-'Changes in Equity'!G7-'Changes in Equity'!G8-'Changes in Equity'!G9-'Changes in Equity'!G10-'Changes in Equity'!G11-'Changes in Equity'!G12-'Changes in Equity'!G13-'Changes in Equity'!G14,"n.a."))</x:f>
        <x:v>n.a.</x:v>
      </x:c>
      <x:c r="H27" s="75" t="str">
        <x:f>IF(COUNT('Changes in Equity'!H15,'Changes in Equity'!H7,'Changes in Equity'!H8,'Changes in Equity'!H9,'Changes in Equity'!H10,'Changes in Equity'!H11,'Changes in Equity'!H12,'Changes in Equity'!H13,'Changes in Equity'!H14)&lt;9,"n.a.",IF(TRUE,'Changes in Equity'!H15-'Changes in Equity'!H7-'Changes in Equity'!H8-'Changes in Equity'!H9-'Changes in Equity'!H10-'Changes in Equity'!H11-'Changes in Equity'!H12-'Changes in Equity'!H13-'Changes in Equity'!H14,"n.a."))</x:f>
        <x:v>n.a.</x:v>
      </x:c>
      <x:c r="I27" s="75" t="str">
        <x:f>IF(COUNT('Changes in Equity'!I15,'Changes in Equity'!I7,'Changes in Equity'!I8,'Changes in Equity'!I9,'Changes in Equity'!I10,'Changes in Equity'!I11,'Changes in Equity'!I12,'Changes in Equity'!I13,'Changes in Equity'!I14)&lt;9,"n.a.",IF(TRUE,'Changes in Equity'!I15-'Changes in Equity'!I7-'Changes in Equity'!I8-'Changes in Equity'!I9-'Changes in Equity'!I10-'Changes in Equity'!I11-'Changes in Equity'!I12-'Changes in Equity'!I13-'Changes in Equity'!I14,"n.a."))</x:f>
        <x:v>n.a.</x:v>
      </x:c>
      <x:c r="J27" s="2"/>
      <x:c r="K27" s="2"/>
      <x:c r="L27" s="2"/>
      <x:c r="M27" s="2"/>
    </x:row>
    <x:row r="28" ht="23" customHeight="1">
      <x:c r="A28" s="1"/>
      <x:c r="B28" s="1"/>
      <x:c r="C28" s="2" t="str">
        <x:v>Equity statement closing less balance-sheet equity</x:v>
      </x:c>
      <x:c r="D28" s="74"/>
      <x:c r="E28" s="76" t="str">
        <x:f>IF(COUNT('Changes in Equity'!E15,'Balance Sheet'!E52)&lt;2,"n.a.",IF(TRUE,'Changes in Equity'!E15-'Balance Sheet'!E52,"n.a."))</x:f>
        <x:v>n.a.</x:v>
      </x:c>
      <x:c r="F28" s="76" t="str">
        <x:f>IF(COUNT('Changes in Equity'!F15,'Balance Sheet'!F52)&lt;2,"n.a.",IF(TRUE,'Changes in Equity'!F15-'Balance Sheet'!F52,"n.a."))</x:f>
        <x:v>n.a.</x:v>
      </x:c>
      <x:c r="G28" s="76" t="str">
        <x:f>IF(COUNT('Changes in Equity'!G15,'Balance Sheet'!G52)&lt;2,"n.a.",IF(TRUE,'Changes in Equity'!G15-'Balance Sheet'!G52,"n.a."))</x:f>
        <x:v>n.a.</x:v>
      </x:c>
      <x:c r="H28" s="76" t="str">
        <x:f>IF(COUNT('Changes in Equity'!H15,'Balance Sheet'!H52)&lt;2,"n.a.",IF(TRUE,'Changes in Equity'!H15-'Balance Sheet'!H52,"n.a."))</x:f>
        <x:v>n.a.</x:v>
      </x:c>
      <x:c r="I28" s="76" t="str">
        <x:f>IF(COUNT('Changes in Equity'!I15,'Balance Sheet'!I52)&lt;2,"n.a.",IF(TRUE,'Changes in Equity'!I15-'Balance Sheet'!I52,"n.a."))</x:f>
        <x:v>n.a.</x:v>
      </x:c>
      <x:c r="J28" s="2"/>
      <x:c r="K28" s="2"/>
      <x:c r="L28" s="2"/>
      <x:c r="M28" s="2"/>
    </x:row>
    <x:row r="29" ht="23" customHeight="1">
      <x:c r="A29" s="1"/>
      <x:c r="B29" s="1"/>
      <x:c r="C29" s="2" t="str">
        <x:v>Equity statement profit less income statement</x:v>
      </x:c>
      <x:c r="D29" s="74"/>
      <x:c r="E29" s="75" t="str">
        <x:f>IF(COUNT('Changes in Equity'!E8,'Income Statement'!E28)&lt;2,"n.a.",IF(TRUE,'Changes in Equity'!E8-'Income Statement'!E28,"n.a."))</x:f>
        <x:v>n.a.</x:v>
      </x:c>
      <x:c r="F29" s="75" t="str">
        <x:f>IF(COUNT('Changes in Equity'!F8,'Income Statement'!F28)&lt;2,"n.a.",IF(TRUE,'Changes in Equity'!F8-'Income Statement'!F28,"n.a."))</x:f>
        <x:v>n.a.</x:v>
      </x:c>
      <x:c r="G29" s="75" t="str">
        <x:f>IF(COUNT('Changes in Equity'!G8,'Income Statement'!G28)&lt;2,"n.a.",IF(TRUE,'Changes in Equity'!G8-'Income Statement'!G28,"n.a."))</x:f>
        <x:v>n.a.</x:v>
      </x:c>
      <x:c r="H29" s="75" t="str">
        <x:f>IF(COUNT('Changes in Equity'!H8,'Income Statement'!H28)&lt;2,"n.a.",IF(TRUE,'Changes in Equity'!H8-'Income Statement'!H28,"n.a."))</x:f>
        <x:v>n.a.</x:v>
      </x:c>
      <x:c r="I29" s="75" t="str">
        <x:f>IF(COUNT('Changes in Equity'!I8,'Income Statement'!I28)&lt;2,"n.a.",IF(TRUE,'Changes in Equity'!I8-'Income Statement'!I28,"n.a."))</x:f>
        <x:v>n.a.</x:v>
      </x:c>
      <x:c r="J29" s="2"/>
      <x:c r="K29" s="2"/>
      <x:c r="L29" s="2"/>
      <x:c r="M29" s="2"/>
    </x:row>
    <x:row r="30" ht="23" customHeight="1">
      <x:c r="A30" s="1"/>
      <x:c r="B30" s="1"/>
      <x:c r="C30" s="2" t="str">
        <x:v>Calculated basic EPS less reported EPS</x:v>
      </x:c>
      <x:c r="D30" s="74"/>
      <x:c r="E30" s="76" t="str">
        <x:f>IF(COUNT('Share Valuation'!E8,'Market Inputs'!E10)&lt;2,"n.a.",IF(TRUE,'Share Valuation'!E8-'Market Inputs'!E10,"n.a."))</x:f>
        <x:v>n.a.</x:v>
      </x:c>
      <x:c r="F30" s="76" t="str">
        <x:f>IF(COUNT('Share Valuation'!F8,'Market Inputs'!F10)&lt;2,"n.a.",IF(TRUE,'Share Valuation'!F8-'Market Inputs'!F10,"n.a."))</x:f>
        <x:v>n.a.</x:v>
      </x:c>
      <x:c r="G30" s="76" t="str">
        <x:f>IF(COUNT('Share Valuation'!G8,'Market Inputs'!G10)&lt;2,"n.a.",IF(TRUE,'Share Valuation'!G8-'Market Inputs'!G10,"n.a."))</x:f>
        <x:v>n.a.</x:v>
      </x:c>
      <x:c r="H30" s="76" t="str">
        <x:f>IF(COUNT('Share Valuation'!H8,'Market Inputs'!H10)&lt;2,"n.a.",IF(TRUE,'Share Valuation'!H8-'Market Inputs'!H10,"n.a."))</x:f>
        <x:v>n.a.</x:v>
      </x:c>
      <x:c r="I30" s="76" t="str">
        <x:f>IF(COUNT('Share Valuation'!I8,'Market Inputs'!I10)&lt;2,"n.a.",IF(TRUE,'Share Valuation'!I8-'Market Inputs'!I10,"n.a."))</x:f>
        <x:v>n.a.</x:v>
      </x:c>
      <x:c r="J30" s="2"/>
      <x:c r="K30" s="2"/>
      <x:c r="L30" s="2"/>
      <x:c r="M30" s="2"/>
    </x:row>
    <x:row r="31" ht="23" customHeight="1">
      <x:c r="A31" s="1"/>
      <x:c r="B31" s="1"/>
      <x:c r="C31" s="2" t="str">
        <x:v>Three-factor DuPont less group ROE</x:v>
      </x:c>
      <x:c r="D31" s="74"/>
      <x:c r="E31" s="75" t="str">
        <x:f>IF(COUNT('DuPont'!E11,'Profitability'!E15)&lt;2,"n.a.",IF(TRUE,'DuPont'!E11-'Profitability'!E15,"n.a."))</x:f>
        <x:v>n.a.</x:v>
      </x:c>
      <x:c r="F31" s="75" t="str">
        <x:f>IF(COUNT('DuPont'!F11,'Profitability'!F15)&lt;2,"n.a.",IF(TRUE,'DuPont'!F11-'Profitability'!F15,"n.a."))</x:f>
        <x:v>n.a.</x:v>
      </x:c>
      <x:c r="G31" s="75" t="str">
        <x:f>IF(COUNT('DuPont'!G11,'Profitability'!G15)&lt;2,"n.a.",IF(TRUE,'DuPont'!G11-'Profitability'!G15,"n.a."))</x:f>
        <x:v>n.a.</x:v>
      </x:c>
      <x:c r="H31" s="75" t="str">
        <x:f>IF(COUNT('DuPont'!H11,'Profitability'!H15)&lt;2,"n.a.",IF(TRUE,'DuPont'!H11-'Profitability'!H15,"n.a."))</x:f>
        <x:v>n.a.</x:v>
      </x:c>
      <x:c r="I31" s="75" t="str">
        <x:f>IF(COUNT('DuPont'!I11,'Profitability'!I15)&lt;2,"n.a.",IF(TRUE,'DuPont'!I11-'Profitability'!I15,"n.a."))</x:f>
        <x:v>n.a.</x:v>
      </x:c>
      <x:c r="J31" s="2"/>
      <x:c r="K31" s="2"/>
      <x:c r="L31" s="2"/>
      <x:c r="M31" s="2"/>
    </x:row>
    <x:row r="32" ht="23" customHeight="1">
      <x:c r="A32" s="1"/>
      <x:c r="B32" s="1"/>
      <x:c r="C32" s="2" t="str">
        <x:v>Five-factor DuPont less group ROE</x:v>
      </x:c>
      <x:c r="D32" s="74"/>
      <x:c r="E32" s="76" t="str">
        <x:f>IF(COUNT('DuPont'!E16,'Profitability'!E15)&lt;2,"n.a.",IF(TRUE,'DuPont'!E16-'Profitability'!E15,"n.a."))</x:f>
        <x:v>n.a.</x:v>
      </x:c>
      <x:c r="F32" s="76" t="str">
        <x:f>IF(COUNT('DuPont'!F16,'Profitability'!F15)&lt;2,"n.a.",IF(TRUE,'DuPont'!F16-'Profitability'!F15,"n.a."))</x:f>
        <x:v>n.a.</x:v>
      </x:c>
      <x:c r="G32" s="76" t="str">
        <x:f>IF(COUNT('DuPont'!G16,'Profitability'!G15)&lt;2,"n.a.",IF(TRUE,'DuPont'!G16-'Profitability'!G15,"n.a."))</x:f>
        <x:v>n.a.</x:v>
      </x:c>
      <x:c r="H32" s="76" t="str">
        <x:f>IF(COUNT('DuPont'!H16,'Profitability'!H15)&lt;2,"n.a.",IF(TRUE,'DuPont'!H16-'Profitability'!H15,"n.a."))</x:f>
        <x:v>n.a.</x:v>
      </x:c>
      <x:c r="I32" s="76" t="str">
        <x:f>IF(COUNT('DuPont'!I16,'Profitability'!I15)&lt;2,"n.a.",IF(TRUE,'DuPont'!I16-'Profitability'!I15,"n.a."))</x:f>
        <x:v>n.a.</x:v>
      </x:c>
      <x:c r="J32" s="2"/>
      <x:c r="K32" s="2"/>
      <x:c r="L32" s="2"/>
      <x:c r="M32" s="2"/>
    </x:row>
    <x:row r="33" ht="23" customHeight="1">
      <x:c r="A33" s="1"/>
      <x:c r="B33" s="1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A34" s="1"/>
      <x:c r="B34" s="1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3" customHeight="1">
      <x:c r="A35" s="1"/>
      <x:c r="B35" s="1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</x:sheetData>
  <x:conditionalFormatting sqref="E7:I7">
    <x:cfRule type="expression" dxfId="0" priority="1">
      <x:formula>AND(ISNUMBER(E7),ABS(E7)&gt;'Setup'!$E$14)</x:formula>
    </x:cfRule>
  </x:conditionalFormatting>
  <x:conditionalFormatting sqref="E8:I8">
    <x:cfRule type="expression" dxfId="1" priority="2">
      <x:formula>AND(ISNUMBER(E8),ABS(E8)&gt;'Setup'!$E$14)</x:formula>
    </x:cfRule>
  </x:conditionalFormatting>
  <x:conditionalFormatting sqref="E9:I9">
    <x:cfRule type="expression" dxfId="2" priority="3">
      <x:formula>AND(ISNUMBER(E9),ABS(E9)&gt;'Setup'!$E$14)</x:formula>
    </x:cfRule>
  </x:conditionalFormatting>
  <x:conditionalFormatting sqref="E10:I10">
    <x:cfRule type="expression" dxfId="3" priority="4">
      <x:formula>AND(ISNUMBER(E10),ABS(E10)&gt;'Setup'!$E$14)</x:formula>
    </x:cfRule>
  </x:conditionalFormatting>
  <x:conditionalFormatting sqref="E11:I11">
    <x:cfRule type="expression" dxfId="4" priority="5">
      <x:formula>AND(ISNUMBER(E11),ABS(E11)&gt;'Setup'!$E$14)</x:formula>
    </x:cfRule>
  </x:conditionalFormatting>
  <x:conditionalFormatting sqref="E12:I12">
    <x:cfRule type="expression" dxfId="5" priority="6">
      <x:formula>AND(ISNUMBER(E12),ABS(E12)&gt;'Setup'!$E$14)</x:formula>
    </x:cfRule>
  </x:conditionalFormatting>
  <x:conditionalFormatting sqref="E13:I13">
    <x:cfRule type="expression" dxfId="6" priority="7">
      <x:formula>AND(ISNUMBER(E13),ABS(E13)&gt;'Setup'!$E$14)</x:formula>
    </x:cfRule>
  </x:conditionalFormatting>
  <x:conditionalFormatting sqref="E14:I14">
    <x:cfRule type="expression" dxfId="7" priority="8">
      <x:formula>AND(ISNUMBER(E14),ABS(E14)&gt;'Setup'!$E$14)</x:formula>
    </x:cfRule>
  </x:conditionalFormatting>
  <x:conditionalFormatting sqref="E15:I15">
    <x:cfRule type="expression" dxfId="8" priority="9">
      <x:formula>AND(ISNUMBER(E15),ABS(E15)&gt;'Setup'!$E$14)</x:formula>
    </x:cfRule>
  </x:conditionalFormatting>
  <x:conditionalFormatting sqref="E16:I16">
    <x:cfRule type="expression" dxfId="9" priority="10">
      <x:formula>AND(ISNUMBER(E16),ABS(E16)&gt;'Setup'!$E$14)</x:formula>
    </x:cfRule>
  </x:conditionalFormatting>
  <x:conditionalFormatting sqref="E17:I17">
    <x:cfRule type="expression" dxfId="10" priority="11">
      <x:formula>AND(ISNUMBER(E17),ABS(E17)&gt;'Setup'!$E$14)</x:formula>
    </x:cfRule>
  </x:conditionalFormatting>
  <x:conditionalFormatting sqref="E18:I18">
    <x:cfRule type="expression" dxfId="11" priority="12">
      <x:formula>AND(ISNUMBER(E18),ABS(E18)&gt;'Setup'!$E$14)</x:formula>
    </x:cfRule>
  </x:conditionalFormatting>
  <x:conditionalFormatting sqref="E19:I19">
    <x:cfRule type="expression" dxfId="12" priority="13">
      <x:formula>AND(ISNUMBER(E19),ABS(E19)&gt;'Setup'!$E$14)</x:formula>
    </x:cfRule>
  </x:conditionalFormatting>
  <x:conditionalFormatting sqref="E20:I20">
    <x:cfRule type="expression" dxfId="13" priority="14">
      <x:formula>AND(ISNUMBER(E20),ABS(E20)&gt;'Setup'!$E$14)</x:formula>
    </x:cfRule>
  </x:conditionalFormatting>
  <x:conditionalFormatting sqref="E21:I21">
    <x:cfRule type="expression" dxfId="14" priority="15">
      <x:formula>AND(ISNUMBER(E21),ABS(E21)&gt;'Setup'!$E$14)</x:formula>
    </x:cfRule>
  </x:conditionalFormatting>
  <x:conditionalFormatting sqref="E22:I22">
    <x:cfRule type="expression" dxfId="15" priority="16">
      <x:formula>AND(ISNUMBER(E22),ABS(E22)&gt;'Setup'!$E$14)</x:formula>
    </x:cfRule>
  </x:conditionalFormatting>
  <x:conditionalFormatting sqref="E23:I23">
    <x:cfRule type="expression" dxfId="16" priority="17">
      <x:formula>AND(ISNUMBER(E23),ABS(E23)&gt;'Setup'!$E$14)</x:formula>
    </x:cfRule>
  </x:conditionalFormatting>
  <x:conditionalFormatting sqref="E24:I24">
    <x:cfRule type="expression" dxfId="17" priority="18">
      <x:formula>AND(ISNUMBER(E24),ABS(E24)&gt;'Setup'!$E$14)</x:formula>
    </x:cfRule>
  </x:conditionalFormatting>
  <x:conditionalFormatting sqref="E25:I25">
    <x:cfRule type="expression" dxfId="18" priority="19">
      <x:formula>AND(ISNUMBER(E25),ABS(E25)&gt;'Setup'!$E$14)</x:formula>
    </x:cfRule>
  </x:conditionalFormatting>
  <x:conditionalFormatting sqref="E26:I26">
    <x:cfRule type="expression" dxfId="19" priority="20">
      <x:formula>AND(ISNUMBER(E26),ABS(E26)&gt;'Setup'!$E$14)</x:formula>
    </x:cfRule>
  </x:conditionalFormatting>
  <x:conditionalFormatting sqref="E27:I27">
    <x:cfRule type="expression" dxfId="20" priority="21">
      <x:formula>AND(ISNUMBER(E27),ABS(E27)&gt;'Setup'!$E$14)</x:formula>
    </x:cfRule>
  </x:conditionalFormatting>
  <x:conditionalFormatting sqref="E28:I28">
    <x:cfRule type="expression" dxfId="21" priority="22">
      <x:formula>AND(ISNUMBER(E28),ABS(E28)&gt;'Setup'!$E$14)</x:formula>
    </x:cfRule>
  </x:conditionalFormatting>
  <x:conditionalFormatting sqref="E29:I29">
    <x:cfRule type="expression" dxfId="22" priority="23">
      <x:formula>AND(ISNUMBER(E29),ABS(E29)&gt;'Setup'!$E$14)</x:formula>
    </x:cfRule>
  </x:conditionalFormatting>
  <x:conditionalFormatting sqref="E30:I30">
    <x:cfRule type="expression" dxfId="23" priority="24">
      <x:formula>AND(ISNUMBER(E30),ABS(E30)&gt;'Setup'!$E$14)</x:formula>
    </x:cfRule>
  </x:conditionalFormatting>
  <x:conditionalFormatting sqref="E31:I31">
    <x:cfRule type="expression" dxfId="24" priority="25">
      <x:formula>AND(ISNUMBER(E31),ABS(E31)&gt;'Setup'!$E$14)</x:formula>
    </x:cfRule>
  </x:conditionalFormatting>
  <x:conditionalFormatting sqref="E32:I32">
    <x:cfRule type="expression" dxfId="25" priority="26">
      <x:formula>AND(ISNUMBER(E32),ABS(E32)&gt;'Setup'!$E$14)</x:formula>
    </x:cfRule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A0A9B5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Guide and Source Review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Workflow, definitions and corrections to the source workbooks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1"/>
      <x:c r="B5" s="1"/>
      <x:c r="C5" s="2" t="str">
        <x:v>How to use and interpret the template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1"/>
      <x:c r="B6" s="1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Scope: reusable company analysis plus separate peer, personal-investment and ETF sections.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1"/>
      <x:c r="B8" s="1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1"/>
      <x:c r="B9" s="1"/>
      <x:c r="C9" s="2" t="str">
        <x:v>The financial model uses five annual periods and one preceding period for opening balances.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1"/>
      <x:c r="B10" s="1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3" customHeight="1">
      <x:c r="A11" s="1"/>
      <x:c r="B11" s="1"/>
      <x:c r="C11" s="2" t="str">
        <x:v>Original historical company values remain in the source files; no mixed-company history is imported.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3" customHeight="1">
      <x:c r="A12" s="1"/>
      <x:c r="B12" s="1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3" customHeight="1">
      <x:c r="A13" s="1"/>
      <x:c r="B13" s="1"/>
      <x:c r="C13" s="2" t="str">
        <x:v>For each year, copy reported totals first. Fill detail only when available, without double-counting combined lines.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3" customHeight="1">
      <x:c r="A14" s="1"/>
      <x:c r="B14" s="1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1"/>
      <x:c r="B15" s="1"/>
      <x:c r="C15" s="2" t="str">
        <x:v>Receivables and payables for turnover are trade balances. Tax, debt and payroll balances are excluded.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1"/>
      <x:c r="B17" s="1"/>
      <x:c r="C17" s="2" t="str">
        <x:v>Average-balance ratios use (opening + closing) / 2. n.a. is intentional if opening values are missing.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2" t="str">
        <x:v>ROE uses after-tax earnings. Pre-tax and closing-balance textbook variants have separate names.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2" t="str">
        <x:v>ROIC uses NOPAT divided by average capital after cash and liquid investments, including lease debt.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 t="str">
        <x:v>Basic EPS uses earnings for common shares and weighted-average shares. Book value uses closing shares.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 t="str">
        <x:v>Use matching split-adjusted EPS, dividends and price. Different share currencies must be converted before input.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 t="str">
        <x:v>Debt includes short-term and long-term borrowings and lease liabilities; total liabilities are a separate measure.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C29" t="str">
        <x:v>Free cash flow = operating cash flow + negative capex. Acquisitions and other investments remain separate.</x:v>
      </x:c>
    </x:row>
    <x:row r="31">
      <x:c r="C31" t="str">
        <x:v>Cash flow inputs follow reported classification. If interest is financing, the reported CFO differs in comparability.</x:v>
      </x:c>
    </x:row>
    <x:row r="33">
      <x:c r="C33" t="str">
        <x:v>Use the cash bridge only for explained definitions, such as overdrafts or restricted cash. Do not force a balance.</x:v>
      </x:c>
    </x:row>
    <x:row r="35">
      <x:c r="C35" t="str">
        <x:v>A multiple-based price estimate depends on your chosen multiple and valuation date. No DCF assumptions are invented.</x:v>
      </x:c>
    </x:row>
    <x:row r="37">
      <x:c r="C37" t="str">
        <x:v>No universal good/bad ratio thresholds are imposed. Interpret against peers, history and accounting policy.</x:v>
      </x:c>
    </x:row>
    <x:row r="39">
      <x:c r="C39" t="str">
        <x:v>The general corporate ratios need adaptation for banks and insurers; they are not sector-specific regulatory ratios.</x:v>
      </x:c>
    </x:row>
    <x:row r="41">
      <x:c r="C41" t="str">
        <x:v>ETF model: constant price growth, yield and fee assumptions; deposits at month-end; taxes are not modelled.</x:v>
      </x:c>
    </x:row>
    <x:row r="43">
      <x:c r="C43" t="str">
        <x:v>Corrections identified in your workbooks</x:v>
      </x:c>
    </x:row>
    <x:row r="44" ht="48" customHeight="1">
      <x:c r="C44" t="str">
        <x:v>Economic Analysis.xlsx, Ratios.!L3:L5</x:v>
      </x:c>
      <x:c r="D44" s="94" t="str">
        <x:v>Current and quick ratios refer to non-current liabilities (Balance Sheet F34). Rebuilt with current liabilities.</x:v>
      </x:c>
      <x:c r="E44" s="94"/>
      <x:c r="F44" s="94"/>
      <x:c r="G44" s="94"/>
      <x:c r="H44" s="94"/>
      <x:c r="I44" s="94"/>
    </x:row>
    <x:row r="45" ht="48" customHeight="1">
      <x:c r="C45" t="str">
        <x:v>Economic Analysis.xlsx, Ratios!L9</x:v>
      </x:c>
      <x:c r="D45" s="94" t="str">
        <x:v>ROE refers to Balance Sheet F14, a section heading. Rebuilt from profit and equity with matching group scope.</x:v>
      </x:c>
      <x:c r="E45" s="94"/>
      <x:c r="F45" s="94"/>
      <x:c r="G45" s="94"/>
      <x:c r="H45" s="94"/>
      <x:c r="I45" s="94"/>
    </x:row>
    <x:row r="46" ht="48" customHeight="1">
      <x:c r="C46" t="str">
        <x:v>Economic Analysis.xlsx, Income Statement!N2</x:v>
      </x:c>
      <x:c r="D46" s="94" t="str">
        <x:v>Revenue growth refers to F4 and G4 (gross profit). Growth now follows the selected metric and year.</x:v>
      </x:c>
      <x:c r="E46" s="94"/>
      <x:c r="F46" s="94"/>
      <x:c r="G46" s="94"/>
      <x:c r="H46" s="94"/>
      <x:c r="I46" s="94"/>
    </x:row>
    <x:row r="47" ht="48" customHeight="1">
      <x:c r="C47" t="str">
        <x:v>Economic Analysis.xlsx, Δείκτες Αποδοτικότητας!A14:J18</x:v>
      </x:c>
      <x:c r="D47" s="94" t="str">
        <x:v>Margin labels are offset from their definitions. Labels and formulas are aligned in Profitability.</x:v>
      </x:c>
      <x:c r="E47" s="94"/>
      <x:c r="F47" s="94"/>
      <x:c r="G47" s="94"/>
      <x:c r="H47" s="94"/>
      <x:c r="I47" s="94"/>
    </x:row>
    <x:row r="48" ht="48" customHeight="1">
      <x:c r="C48" t="str">
        <x:v>Economic Analysis.xlsx, Δείκτες Αποδοτικότητας!A21,A27</x:v>
      </x:c>
      <x:c r="D48" s="94" t="str">
        <x:v>DuPont instructions say addition; the correct identities multiply the factors.</x:v>
      </x:c>
      <x:c r="E48" s="94"/>
      <x:c r="F48" s="94"/>
      <x:c r="G48" s="94"/>
      <x:c r="H48" s="94"/>
      <x:c r="I48" s="94"/>
    </x:row>
    <x:row r="49" ht="48" customHeight="1">
      <x:c r="C49" t="str">
        <x:v>F.A/renewables &amp; efuels.xlsx, Sheet1!E54,E67</x:v>
      </x:c>
      <x:c r="D49" s="94" t="str">
        <x:v>Market cap uses book value per share; current assets points to total assets. Both references were rebuilt.</x:v>
      </x:c>
      <x:c r="E49" s="94"/>
      <x:c r="F49" s="94"/>
      <x:c r="G49" s="94"/>
      <x:c r="H49" s="94"/>
      <x:c r="I49" s="94"/>
    </x:row>
    <x:row r="50" ht="48" customHeight="1">
      <x:c r="C50" t="str">
        <x:v>F.A/ETF COMPARISON.xlsx, Sheet1!I13:J22</x:v>
      </x:c>
      <x:c r="D50" s="94" t="str">
        <x:v>Projection mixes portfolio references and does not compound the opening investment. New monthly roll-forwards separate all three funds.</x:v>
      </x:c>
      <x:c r="E50" s="94"/>
      <x:c r="F50" s="94"/>
      <x:c r="G50" s="94"/>
      <x:c r="H50" s="94"/>
      <x:c r="I50" s="94"/>
    </x:row>
    <x:row r="51" ht="48" customHeight="1">
      <x:c r="C51" t="str">
        <x:v>F.A/Logistics.xlsx, Sheet1!N12,N99</x:v>
      </x:c>
      <x:c r="D51" s="94" t="str">
        <x:v>Text entries include 11.625.5 and 331\. They are not silently converted into financial values.</x:v>
      </x:c>
      <x:c r="E51" s="94"/>
      <x:c r="F51" s="94"/>
      <x:c r="G51" s="94"/>
      <x:c r="H51" s="94"/>
      <x:c r="I51" s="94"/>
    </x:row>
    <x:row r="52" ht="48" customHeight="1">
      <x:c r="C52" t="str">
        <x:v>F.A/Aεροναυπηγικα.xls, ΚΑΤ. ΟΙΚΟΝΟΜΙΚΗΣ ΘΕΣΗΣ!B7</x:v>
      </x:c>
      <x:c r="D52" s="94" t="str">
        <x:v>The Greek label says tangible assets and the English label says intangible. New inputs distinguish PPE and intangibles.</x:v>
      </x:c>
      <x:c r="E52" s="94"/>
      <x:c r="F52" s="94"/>
      <x:c r="G52" s="94"/>
      <x:c r="H52" s="94"/>
      <x:c r="I52" s="94"/>
    </x:row>
    <x:row r="55">
      <x:c r="C55" t="str">
        <x:v>Source coverage</x:v>
      </x:c>
    </x:row>
    <x:row r="56" ht="40" customHeight="1">
      <x:c r="C56" t="str">
        <x:v>Economic Analysis.xlsx</x:v>
      </x:c>
      <x:c r="D56" s="94" t="str">
        <x:v>Four financial statements, ratios, DuPont, valuation, market history, debt and index analysis.</x:v>
      </x:c>
      <x:c r="E56" s="94"/>
      <x:c r="F56" s="94"/>
      <x:c r="G56" s="94"/>
      <x:c r="H56" s="94"/>
      <x:c r="I56" s="94"/>
    </x:row>
    <x:row r="57" ht="40" customHeight="1">
      <x:c r="C57" t="str">
        <x:v>F.A/Aεροναυπηγικα.xls</x:v>
      </x:c>
      <x:c r="D57" s="94" t="str">
        <x:v>Balance-sheet detail, common-size analysis, trends, and textbook ratios.</x:v>
      </x:c>
      <x:c r="E57" s="94"/>
      <x:c r="F57" s="94"/>
      <x:c r="G57" s="94"/>
      <x:c r="H57" s="94"/>
      <x:c r="I57" s="94"/>
    </x:row>
    <x:row r="58" ht="40" customHeight="1">
      <x:c r="C58" t="str">
        <x:v>F.A/Agriculture.xlsx</x:v>
      </x:c>
      <x:c r="D58" s="94" t="str">
        <x:v>Company statements, capitalisation, per-share measures and valuation multiples.</x:v>
      </x:c>
      <x:c r="E58" s="94"/>
      <x:c r="F58" s="94"/>
      <x:c r="G58" s="94"/>
      <x:c r="H58" s="94"/>
      <x:c r="I58" s="94"/>
    </x:row>
    <x:row r="59" ht="40" customHeight="1">
      <x:c r="C59" t="str">
        <x:v>F.A/Cables and energy systems.xlsx</x:v>
      </x:c>
      <x:c r="D59" s="94" t="str">
        <x:v>Company comparisons, cash flows and parent-owner profit and equity.</x:v>
      </x:c>
      <x:c r="E59" s="94"/>
      <x:c r="F59" s="94"/>
      <x:c r="G59" s="94"/>
      <x:c r="H59" s="94"/>
      <x:c r="I59" s="94"/>
    </x:row>
    <x:row r="60" ht="40" customHeight="1">
      <x:c r="C60" t="str">
        <x:v>F.A/Logistics.xlsx</x:v>
      </x:c>
      <x:c r="D60" s="94" t="str">
        <x:v>Debt ratios, basic and diluted EPS, dividends, and fleet DWT.</x:v>
      </x:c>
      <x:c r="E60" s="94"/>
      <x:c r="F60" s="94"/>
      <x:c r="G60" s="94"/>
      <x:c r="H60" s="94"/>
      <x:c r="I60" s="94"/>
    </x:row>
    <x:row r="61" ht="40" customHeight="1">
      <x:c r="C61" t="str">
        <x:v>F.A/Petroleum.xlsx</x:v>
      </x:c>
      <x:c r="D61" s="94" t="str">
        <x:v>Company financials and liquids and gas production measures.</x:v>
      </x:c>
      <x:c r="E61" s="94"/>
      <x:c r="F61" s="94"/>
      <x:c r="G61" s="94"/>
      <x:c r="H61" s="94"/>
      <x:c r="I61" s="94"/>
    </x:row>
    <x:row r="62" ht="40" customHeight="1">
      <x:c r="C62" t="str">
        <x:v>F.A/renewables &amp; efuels.xlsx</x:v>
      </x:c>
      <x:c r="D62" s="94" t="str">
        <x:v>Operating statements, cash flows, capitalisation and valuation.</x:v>
      </x:c>
      <x:c r="E62" s="94"/>
      <x:c r="F62" s="94"/>
      <x:c r="G62" s="94"/>
      <x:c r="H62" s="94"/>
      <x:c r="I62" s="94"/>
    </x:row>
    <x:row r="63" ht="40" customHeight="1">
      <x:c r="C63" t="str">
        <x:v>F.A/Semiconductors.xlsx</x:v>
      </x:c>
      <x:c r="D63" s="94" t="str">
        <x:v>R&amp;D, detailed balance sheet, reported basic and diluted EPS.</x:v>
      </x:c>
      <x:c r="E63" s="94"/>
      <x:c r="F63" s="94"/>
      <x:c r="G63" s="94"/>
      <x:c r="H63" s="94"/>
      <x:c r="I63" s="94"/>
    </x:row>
    <x:row r="64" ht="40" customHeight="1">
      <x:c r="C64" t="str">
        <x:v>F.A/ETF COMPARISON.xlsx</x:v>
      </x:c>
      <x:c r="D64" s="94" t="str">
        <x:v>Fund yield, expenses, contributions and reinvestment, with rebuilt projections.</x:v>
      </x:c>
      <x:c r="E64" s="94"/>
      <x:c r="F64" s="94"/>
      <x:c r="G64" s="94"/>
      <x:c r="H64" s="94"/>
      <x:c r="I64" s="94"/>
    </x:row>
    <x:row r="65" ht="40" customHeight="1">
      <x:c r="C65" t="str">
        <x:v>Λογιστικα αποτιμησεις και παρακολουθηση.xlsx</x:v>
      </x:c>
      <x:c r="D65" s="94" t="str">
        <x:v>Qualitative accounting notes reviewed; policy observations belong in source mapping notes, not automatic ratios.</x:v>
      </x:c>
      <x:c r="E65" s="94"/>
      <x:c r="F65" s="94"/>
      <x:c r="G65" s="94"/>
      <x:c r="H65" s="94"/>
      <x:c r="I65" s="94"/>
    </x:row>
    <x:row r="68">
      <x:c r="C68" t="str">
        <x:v>Accounting policy review fields</x:v>
      </x:c>
    </x:row>
    <x:row r="69">
      <x:c r="C69" t="str">
        <x:v>PPE: cost or revaluation, depreciation and impairment</x:v>
      </x:c>
      <x:c r="D69" s="63"/>
      <x:c r="E69" s="63"/>
      <x:c r="F69" s="63"/>
      <x:c r="G69" s="63"/>
      <x:c r="H69" s="63"/>
      <x:c r="I69" s="63"/>
    </x:row>
    <x:row r="70">
      <x:c r="C70" t="str">
        <x:v>Investment property: measurement model in the actual report</x:v>
      </x:c>
      <x:c r="D70" s="63"/>
      <x:c r="E70" s="63"/>
      <x:c r="F70" s="63"/>
      <x:c r="G70" s="63"/>
      <x:c r="H70" s="63"/>
      <x:c r="I70" s="63"/>
    </x:row>
    <x:row r="71">
      <x:c r="C71" t="str">
        <x:v>Inventories: costing method and net realisable value</x:v>
      </x:c>
      <x:c r="D71" s="63"/>
      <x:c r="E71" s="63"/>
      <x:c r="F71" s="63"/>
      <x:c r="G71" s="63"/>
      <x:c r="H71" s="63"/>
      <x:c r="I71" s="63"/>
    </x:row>
    <x:row r="72">
      <x:c r="C72" t="str">
        <x:v>Receivables: expected credit losses and measurement basis</x:v>
      </x:c>
      <x:c r="D72" s="63"/>
      <x:c r="E72" s="63"/>
      <x:c r="F72" s="63"/>
      <x:c r="G72" s="63"/>
      <x:c r="H72" s="63"/>
      <x:c r="I72" s="63"/>
    </x:row>
    <x:row r="75">
      <x:c r="C75" t="str">
        <x:v>External definition references, checked September 2026</x:v>
      </x:c>
    </x:row>
    <x:row r="76">
      <x:c r="C76" t="str">
        <x:v>CFA Institute, Financial Ratio List: https://www.cfainstitute.org/sites/default/files/-/media/documents/support/programs/cfa/cfa_program_level_ii_financial_ratio_list.pdf</x:v>
      </x:c>
    </x:row>
    <x:row r="77">
      <x:c r="C77" t="str">
        <x:v>Aswath Damodaran, return on capital: https://pages.stern.nyu.edu/~adamodar/New_Home_Page/cfemail10.html</x:v>
      </x:c>
    </x:row>
    <x:row r="79">
      <x:c r="C79" t="str">
        <x:v>Your exact textbook editions were not supplied. Distinct source variants are labelled explicitly.</x:v>
      </x:c>
    </x:row>
  </x:sheetData>
  <x:mergeCells>
    <x:mergeCell ref="D44:I44"/>
    <x:mergeCell ref="D45:I45"/>
    <x:mergeCell ref="D46:I46"/>
    <x:mergeCell ref="D47:I47"/>
    <x:mergeCell ref="D48:I48"/>
    <x:mergeCell ref="D49:I49"/>
    <x:mergeCell ref="D50:I50"/>
    <x:mergeCell ref="D51:I51"/>
    <x:mergeCell ref="D52:I52"/>
    <x:mergeCell ref="D56:I56"/>
    <x:mergeCell ref="D57:I57"/>
    <x:mergeCell ref="D58:I58"/>
    <x:mergeCell ref="D59:I59"/>
    <x:mergeCell ref="D60:I60"/>
    <x:mergeCell ref="D61:I61"/>
    <x:mergeCell ref="D62:I62"/>
    <x:mergeCell ref="D63:I63"/>
    <x:mergeCell ref="D64:I64"/>
    <x:mergeCell ref="D65:I65"/>
  </x:mergeCells>
  <x:pageMargins left="0.7" right="0.7" top="0.75" bottom="0.75" header="0.3" footer="0.3"/>
</x:worksheet>
</file>