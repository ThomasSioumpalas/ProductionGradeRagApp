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78c6fa232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Επισκόπηση" sheetId="1" r:id="R15cc4d94bac34d2a"/>
    <x:sheet xmlns:r="http://schemas.openxmlformats.org/officeDocument/2006/relationships" name="Ρυθμίσεις" sheetId="2" r:id="R3d731c25e12141e8"/>
    <x:sheet xmlns:r="http://schemas.openxmlformats.org/officeDocument/2006/relationships" name="Κερδοφορία" sheetId="3" r:id="Rc1bd5d2813de42e9"/>
    <x:sheet xmlns:r="http://schemas.openxmlformats.org/officeDocument/2006/relationships" name="Ρευστότητα" sheetId="4" r:id="R1807a0c5d9454cdb"/>
    <x:sheet xmlns:r="http://schemas.openxmlformats.org/officeDocument/2006/relationships" name="Αποτελεσματικότητα" sheetId="5" r:id="R7cbec322fb804aff"/>
    <x:sheet xmlns:r="http://schemas.openxmlformats.org/officeDocument/2006/relationships" name="Χρέος και Φερεγγυότητα" sheetId="6" r:id="R4e959ae2a13447a8"/>
    <x:sheet xmlns:r="http://schemas.openxmlformats.org/officeDocument/2006/relationships" name="Ποιότητα Ταμειακών Ροών" sheetId="7" r:id="R0fbec740622b4854"/>
    <x:sheet xmlns:r="http://schemas.openxmlformats.org/officeDocument/2006/relationships" name="Ανάπτυξη και Τάσεις" sheetId="8" r:id="R42e6a0a4d2064e63"/>
    <x:sheet xmlns:r="http://schemas.openxmlformats.org/officeDocument/2006/relationships" name="Αποτίμηση Μετοχής" sheetId="9" r:id="Ra7a17c9203c24972"/>
    <x:sheet xmlns:r="http://schemas.openxmlformats.org/officeDocument/2006/relationships" name="Ανάλυση DuPont" sheetId="10" r:id="R6aacb4ed4b294910"/>
    <x:sheet xmlns:r="http://schemas.openxmlformats.org/officeDocument/2006/relationships" name="Κοινά Μεγέθη" sheetId="11" r:id="R9a5be0d8065b46ce"/>
    <x:sheet xmlns:r="http://schemas.openxmlformats.org/officeDocument/2006/relationships" name="Υπολογισμοί Κεφαλαίων" sheetId="12" r:id="R2908af2fa4fa4b84"/>
    <x:sheet xmlns:r="http://schemas.openxmlformats.org/officeDocument/2006/relationships" name="Σύγκριση Εταιρειών" sheetId="13" r:id="Rb1c9efe1cb144054"/>
    <x:sheet xmlns:r="http://schemas.openxmlformats.org/officeDocument/2006/relationships" name="Αποδόσεις Επένδυσης" sheetId="14" r:id="Re4246e9217a344e3"/>
    <x:sheet xmlns:r="http://schemas.openxmlformats.org/officeDocument/2006/relationships" name="Σύγκριση ETF" sheetId="15" r:id="Rf746c4faa0e74cb7"/>
    <x:sheet xmlns:r="http://schemas.openxmlformats.org/officeDocument/2006/relationships" name="Κλαδικοί Δείκτες" sheetId="16" r:id="R486ba0c69e6841c0"/>
    <x:sheet xmlns:r="http://schemas.openxmlformats.org/officeDocument/2006/relationships" name="Δεδομένα &gt;&gt;" sheetId="17" r:id="R3cf9b5b24feb4729"/>
    <x:sheet xmlns:r="http://schemas.openxmlformats.org/officeDocument/2006/relationships" name="Ισολογισμός" sheetId="18" r:id="R576f0a6079ab4a60"/>
    <x:sheet xmlns:r="http://schemas.openxmlformats.org/officeDocument/2006/relationships" name="Αποτελέσματα Χρήσης" sheetId="19" r:id="R012af1d539124f49"/>
    <x:sheet xmlns:r="http://schemas.openxmlformats.org/officeDocument/2006/relationships" name="Κατάσταση Ταμειακών Ροών" sheetId="20" r:id="R6ab03cd968184cc4"/>
    <x:sheet xmlns:r="http://schemas.openxmlformats.org/officeDocument/2006/relationships" name="Μεταβολές Ιδίων Κεφαλαίων" sheetId="21" r:id="R121cec8b93a74add"/>
    <x:sheet xmlns:r="http://schemas.openxmlformats.org/officeDocument/2006/relationships" name="Χρηματιστηριακά Δεδομένα" sheetId="22" r:id="R5b98dd97d5794c74"/>
    <x:sheet xmlns:r="http://schemas.openxmlformats.org/officeDocument/2006/relationships" name="Έλεγχοι" sheetId="23" r:id="R3b01282fd9b44415"/>
    <x:sheet xmlns:r="http://schemas.openxmlformats.org/officeDocument/2006/relationships" name="Οδηγός και Έλεγχος Πηγών" sheetId="24" r:id="R7c448b99a1cc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.0;(#,##0.0);&quot;–&quot;"/>
    <x:numFmt numFmtId="202" formatCode="0.0%;(0.0%);&quot;–&quot;"/>
    <x:numFmt numFmtId="203" formatCode="0.00&quot;x&quot;;(0.00&quot;x&quot;);&quot;–&quot;"/>
    <x:numFmt numFmtId="204" formatCode="0.00;(0.00);&quot;–&quot;"/>
    <x:numFmt numFmtId="205" formatCode="0.00"/>
    <x:numFmt numFmtId="206" formatCode="0.00;(0.00);0.00"/>
    <x:numFmt numFmtId="207" formatCode="#,##0"/>
  </x:numFmts>
  <x:fonts count="17">
    <x:font>
      <x:sz val="11"/>
      <x:name val="Carlito"/>
    </x:font>
    <x:font>
      <x:sz val="10"/>
      <x:color rgb="FF172B4D"/>
      <x:name val="Arial"/>
    </x:font>
    <x:font>
      <x:b/>
      <x:sz val="16"/>
      <x:color rgb="FF17365D"/>
      <x:name val="Arial"/>
    </x:font>
    <x:font>
      <x:i/>
      <x:sz val="10"/>
      <x:color rgb="FF566573"/>
      <x:name val="Arial"/>
    </x:font>
    <x:font>
      <x:b/>
      <x:sz val="10"/>
      <x:color rgb="FFFFFFFF"/>
      <x:name val="Arial"/>
    </x:font>
    <x:font>
      <x:i/>
      <x:sz val="9"/>
      <x:color rgb="FF64748B"/>
      <x:name val="Arial"/>
    </x:font>
    <x:font>
      <x:i/>
      <x:sz val="10"/>
      <x:color rgb="FF172B4D"/>
      <x:name val="Arial"/>
    </x:font>
    <x:font>
      <x:b/>
      <x:sz val="10"/>
      <x:color rgb="FF17365D"/>
      <x:name val="Arial"/>
    </x:font>
    <x:font>
      <x:i/>
      <x:sz val="10"/>
      <x:color rgb="FF008000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172B4D"/>
      <x:name val="Arial"/>
    </x:font>
    <x:font>
      <x:b/>
      <x:sz val="10"/>
      <x:color rgb="FF0000FF"/>
      <x:name val="Arial"/>
    </x:font>
    <x:font>
      <x:sz val="11"/>
      <x:color rgb="FF0000FF"/>
      <x:name val="Carlito"/>
    </x:font>
    <x:font>
      <x:i/>
      <x:sz val="10"/>
      <x:color rgb="FF0000FF"/>
      <x:name val="Arial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7EDF5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17365D"/>
      </x:bottom>
    </x:border>
    <x:border>
      <x:top style="thin">
        <x:color rgb="FFBAC8D8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2" fontId="8" fillId="4" borderId="0" xfId="0" applyNumberFormat="1" applyFont="1" applyFill="1" applyBorder="1" applyAlignment="1">
      <x:alignment horizontal="right" vertical="center"/>
    </x:xf>
    <x:xf numFmtId="202" fontId="8" fillId="3" borderId="0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9" fillId="4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3" fontId="8" fillId="3" borderId="0" xfId="0" applyNumberFormat="1" applyFont="1" applyFill="1" applyBorder="1" applyAlignment="1">
      <x:alignment horizontal="right" vertical="center"/>
    </x:xf>
    <x:xf numFmtId="203" fontId="8" fillId="4" borderId="0" xfId="0" applyNumberFormat="1" applyFont="1" applyFill="1" applyBorder="1" applyAlignment="1">
      <x:alignment horizontal="right" vertical="center"/>
    </x:xf>
    <x:xf numFmtId="201" fontId="9" fillId="3" borderId="0" xfId="0" applyNumberFormat="1" applyFont="1" applyFill="1" applyBorder="1" applyAlignment="1">
      <x:alignment horizontal="right" vertical="center"/>
    </x:xf>
    <x:xf numFmtId="204" fontId="9" fillId="0" borderId="0" xfId="0" applyNumberFormat="1" applyFont="1" applyFill="1" applyBorder="1" applyAlignment="1">
      <x:alignment horizontal="right" vertical="center"/>
    </x:xf>
    <x:xf numFmtId="204" fontId="9" fillId="4" borderId="0" xfId="0" applyNumberFormat="1" applyFont="1" applyFill="1" applyBorder="1" applyAlignment="1">
      <x:alignment horizontal="right" vertical="center"/>
    </x:xf>
    <x:xf numFmtId="204" fontId="9" fillId="3" borderId="0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1" fontId="10" fillId="6" borderId="0" xfId="0" applyNumberFormat="1" applyFont="1" applyFill="1" applyBorder="1" applyAlignment="1">
      <x:alignment horizontal="right" vertical="center"/>
    </x:xf>
    <x:xf numFmtId="204" fontId="1" fillId="6" borderId="0" xfId="0" applyNumberFormat="1" applyFont="1" applyFill="1" applyBorder="1" applyAlignment="1">
      <x:alignment horizontal="right" vertical="center"/>
    </x:xf>
    <x:xf numFmtId="204" fontId="10" fillId="6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6" borderId="0" xfId="0" applyNumberFormat="1" applyFont="1" applyFill="1" applyBorder="1" applyAlignment="1">
      <x:alignment horizontal="right" vertical="center"/>
    </x:xf>
    <x:xf numFmtId="205" fontId="10" fillId="6" borderId="0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horizontal="right" vertical="center"/>
    </x:xf>
    <x:xf numFmtId="201" fontId="11" fillId="6" borderId="2" xfId="0" applyNumberFormat="1" applyFont="1" applyFill="1" applyBorder="1" applyAlignment="1">
      <x:alignment horizontal="right" vertical="center"/>
    </x:xf>
    <x:xf numFmtId="201" fontId="12" fillId="6" borderId="2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204" fontId="11" fillId="0" borderId="2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horizontal="right" vertical="center"/>
    </x:xf>
    <x:xf numFmtId="204" fontId="11" fillId="6" borderId="2" xfId="0" applyNumberFormat="1" applyFont="1" applyFill="1" applyBorder="1" applyAlignment="1">
      <x:alignment horizontal="right" vertical="center"/>
    </x:xf>
    <x:xf numFmtId="204" fontId="12" fillId="6" borderId="2" xfId="0" applyNumberFormat="1" applyFont="1" applyFill="1" applyBorder="1" applyAlignment="1">
      <x:alignment horizontal="right" vertical="center"/>
    </x:xf>
    <x:xf numFmtId="202" fontId="6" fillId="6" borderId="0" xfId="0" applyNumberFormat="1" applyFont="1" applyFill="1" applyBorder="1" applyAlignment="1">
      <x:alignment horizontal="right" vertical="center"/>
    </x:xf>
    <x:xf numFmtId="202" fontId="14" fillId="6" borderId="0" xfId="0" applyNumberFormat="1" applyFont="1" applyFill="1" applyBorder="1" applyAlignment="1">
      <x:alignment horizontal="right" vertical="center"/>
    </x:xf>
    <x:xf numFmtId="203" fontId="6" fillId="6" borderId="0" xfId="0" applyNumberFormat="1" applyFont="1" applyFill="1" applyBorder="1" applyAlignment="1">
      <x:alignment horizontal="right" vertical="center"/>
    </x:xf>
    <x:xf numFmtId="203" fontId="14" fillId="6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6" fontId="1" fillId="3" borderId="0" xfId="0" applyNumberFormat="1" applyFont="1" applyFill="1" applyBorder="1" applyAlignment="1">
      <x:alignment horizontal="righ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207" fontId="10" fillId="6" borderId="0" xfId="0" applyNumberFormat="1" applyFont="1" applyFill="1" applyBorder="1" applyAlignment="1">
      <x:alignment vertical="center"/>
    </x:xf>
    <x:xf numFmtId="205" fontId="10" fillId="6" borderId="0" xfId="0" applyNumberFormat="1" applyFont="1" applyFill="1" applyBorder="1" applyAlignment="1">
      <x:alignment vertical="center"/>
    </x:xf>
    <x:xf numFmtId="200" fontId="12" fillId="2" borderId="0" xfId="0" applyNumberFormat="1" applyFont="1" applyFill="1" applyBorder="1" applyAlignment="1">
      <x:alignment horizontal="center" vertical="center"/>
    </x:xf>
    <x:xf numFmtId="200" fontId="12" fillId="6" borderId="0" xfId="0" applyNumberFormat="1" applyFont="1" applyFill="1" applyBorder="1" applyAlignment="1">
      <x:alignment horizontal="center" vertical="center"/>
    </x:xf>
    <x:xf numFmtId="202" fontId="10" fillId="6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6" fillId="2" borderId="0" xfId="0" applyNumberFormat="1" applyFont="1" applyFill="1" applyBorder="1"/>
    <x:xf numFmtId="202" fontId="13" fillId="6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4ebb0d9e64b3c" /><Relationship Type="http://schemas.openxmlformats.org/officeDocument/2006/relationships/theme" Target="/xl/theme/theme1.xml" Id="R4ce79b2590fb4bcc" /><Relationship Type="http://schemas.openxmlformats.org/officeDocument/2006/relationships/sharedStrings" Target="/xl/sharedStrings.xml" Id="R06c392c7622d4464" /><Relationship Type="http://schemas.openxmlformats.org/officeDocument/2006/relationships/worksheet" Target="/xl/worksheets/sheet1.xml" Id="R15cc4d94bac34d2a" /><Relationship Type="http://schemas.openxmlformats.org/officeDocument/2006/relationships/worksheet" Target="/xl/worksheets/sheet2.xml" Id="R3d731c25e12141e8" /><Relationship Type="http://schemas.openxmlformats.org/officeDocument/2006/relationships/worksheet" Target="/xl/worksheets/sheet3.xml" Id="Rc1bd5d2813de42e9" /><Relationship Type="http://schemas.openxmlformats.org/officeDocument/2006/relationships/worksheet" Target="/xl/worksheets/sheet4.xml" Id="R1807a0c5d9454cdb" /><Relationship Type="http://schemas.openxmlformats.org/officeDocument/2006/relationships/worksheet" Target="/xl/worksheets/sheet5.xml" Id="R7cbec322fb804aff" /><Relationship Type="http://schemas.openxmlformats.org/officeDocument/2006/relationships/worksheet" Target="/xl/worksheets/sheet6.xml" Id="R4e959ae2a13447a8" /><Relationship Type="http://schemas.openxmlformats.org/officeDocument/2006/relationships/worksheet" Target="/xl/worksheets/sheet7.xml" Id="R0fbec740622b4854" /><Relationship Type="http://schemas.openxmlformats.org/officeDocument/2006/relationships/worksheet" Target="/xl/worksheets/sheet8.xml" Id="R42e6a0a4d2064e63" /><Relationship Type="http://schemas.openxmlformats.org/officeDocument/2006/relationships/worksheet" Target="/xl/worksheets/sheet9.xml" Id="Ra7a17c9203c24972" /><Relationship Type="http://schemas.openxmlformats.org/officeDocument/2006/relationships/worksheet" Target="/xl/worksheets/sheet10.xml" Id="R6aacb4ed4b294910" /><Relationship Type="http://schemas.openxmlformats.org/officeDocument/2006/relationships/worksheet" Target="/xl/worksheets/sheet11.xml" Id="R9a5be0d8065b46ce" /><Relationship Type="http://schemas.openxmlformats.org/officeDocument/2006/relationships/worksheet" Target="/xl/worksheets/sheet12.xml" Id="R2908af2fa4fa4b84" /><Relationship Type="http://schemas.openxmlformats.org/officeDocument/2006/relationships/worksheet" Target="/xl/worksheets/sheet13.xml" Id="Rb1c9efe1cb144054" /><Relationship Type="http://schemas.openxmlformats.org/officeDocument/2006/relationships/worksheet" Target="/xl/worksheets/sheet14.xml" Id="Re4246e9217a344e3" /><Relationship Type="http://schemas.openxmlformats.org/officeDocument/2006/relationships/worksheet" Target="/xl/worksheets/sheet15.xml" Id="Rf746c4faa0e74cb7" /><Relationship Type="http://schemas.openxmlformats.org/officeDocument/2006/relationships/worksheet" Target="/xl/worksheets/sheet16.xml" Id="R486ba0c69e6841c0" /><Relationship Type="http://schemas.openxmlformats.org/officeDocument/2006/relationships/worksheet" Target="/xl/worksheets/sheet17.xml" Id="R3cf9b5b24feb4729" /><Relationship Type="http://schemas.openxmlformats.org/officeDocument/2006/relationships/worksheet" Target="/xl/worksheets/sheet18.xml" Id="R576f0a6079ab4a60" /><Relationship Type="http://schemas.openxmlformats.org/officeDocument/2006/relationships/worksheet" Target="/xl/worksheets/sheet19.xml" Id="R012af1d539124f49" /><Relationship Type="http://schemas.openxmlformats.org/officeDocument/2006/relationships/worksheet" Target="/xl/worksheets/sheet20.xml" Id="R6ab03cd968184cc4" /><Relationship Type="http://schemas.openxmlformats.org/officeDocument/2006/relationships/worksheet" Target="/xl/worksheets/sheet21.xml" Id="R121cec8b93a74add" /><Relationship Type="http://schemas.openxmlformats.org/officeDocument/2006/relationships/worksheet" Target="/xl/worksheets/sheet22.xml" Id="R5b98dd97d5794c74" /><Relationship Type="http://schemas.openxmlformats.org/officeDocument/2006/relationships/worksheet" Target="/xl/worksheets/sheet23.xml" Id="R3b01282fd9b44415" /><Relationship Type="http://schemas.openxmlformats.org/officeDocument/2006/relationships/worksheet" Target="/xl/worksheets/sheet24.xml" Id="R7c448b99a1cc44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61f6f1c00a46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Πωλήσεις και καθαρά κέρδη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Πωλήσεις</c:v>
          </c:tx>
          <c:spPr>
            <a:ln xmlns:a="http://schemas.openxmlformats.org/drawingml/2006/main" w="19050">
              <a:solidFill>
                <a:srgbClr val="17365D"/>
              </a:solidFill>
              <a:prstDash val="solid"/>
            </a:ln>
          </c:spPr>
          <c:marker>
            <c:symbol val="none"/>
          </c:marker>
          <c:cat>
            <c:strRef>
              <c:f>'Επισκόπηση'!$C$29:$C$33</c:f>
              <c:strCache>
                <c:ptCount val="0"/>
              </c:strCache>
            </c:strRef>
          </c:cat>
          <c:val>
            <c:numRef>
              <c:f>'Επισκόπηση'!$D$29:$D$33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Καθαρά κέρδη</c:v>
          </c:tx>
          <c:spPr>
            <a:ln xmlns:a="http://schemas.openxmlformats.org/drawingml/2006/main" w="19050">
              <a:solidFill>
                <a:srgbClr val="C17D32"/>
              </a:solidFill>
              <a:prstDash val="solid"/>
            </a:ln>
          </c:spPr>
          <c:marker>
            <c:symbol val="none"/>
          </c:marker>
          <c:cat>
            <c:strRef>
              <c:f>'Επισκόπηση'!$C$29:$C$33</c:f>
              <c:strCache>
                <c:ptCount val="0"/>
              </c:strCache>
            </c:strRef>
          </c:cat>
          <c:val>
            <c:numRef>
              <c:f>'Επισκόπηση'!$E$29:$E$33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35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61f6f1c00a46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e26cab800e431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Επισκόπηση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f>IF('Ρυθμίσεις'!E6="","Συμπληρώστε εταιρεία στις Ρυθμίσεις",'Ρυθμίσεις'!E6)</x:f>
        <x:v>Συμπληρώστε εταιρεία στις Ρυθμίσεις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Ξεκινήστε από Ρυθμίσεις. Εισαγάγετε εκθέσεις στα κίτρινα κελιά.</x:v>
      </x:c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Πωλήσεις</x:v>
      </x:c>
      <x:c r="D7" s="15"/>
      <x:c r="E7" s="16" t="str">
        <x:f>IF(COUNT('Αποτελέσματα Χρήσης'!E8)&lt;1,"n.a.",IF(TRUE,'Αποτελέσματα Χρήσης'!E8,"n.a."))</x:f>
        <x:v>n.a.</x:v>
      </x:c>
      <x:c r="F7" s="16" t="str">
        <x:f>IF(COUNT('Αποτελέσματα Χρήσης'!F8)&lt;1,"n.a.",IF(TRUE,'Αποτελέσματα Χρήσης'!F8,"n.a."))</x:f>
        <x:v>n.a.</x:v>
      </x:c>
      <x:c r="G7" s="16" t="str">
        <x:f>IF(COUNT('Αποτελέσματα Χρήσης'!G8)&lt;1,"n.a.",IF(TRUE,'Αποτελέσματα Χρήσης'!G8,"n.a."))</x:f>
        <x:v>n.a.</x:v>
      </x:c>
      <x:c r="H7" s="16" t="str">
        <x:f>IF(COUNT('Αποτελέσματα Χρήσης'!H8)&lt;1,"n.a.",IF(TRUE,'Αποτελέσματα Χρήσης'!H8,"n.a."))</x:f>
        <x:v>n.a.</x:v>
      </x:c>
      <x:c r="I7" s="16" t="str">
        <x:f>IF(COUNT('Αποτελέσματα Χρήσης'!I8)&lt;1,"n.a.",IF(TRUE,'Αποτελέσματα Χρήσης'!I8,"n.a."))</x:f>
        <x:v>n.a.</x:v>
      </x:c>
      <x:c r="J7" s="2"/>
      <x:c r="K7" s="2" t="str">
        <x:v>Δεν έχουν υποτεθεί ή εισαχθεί εταιρικά δεδομένα σε αυτό το επαναχρησιμοποιήσιμο πρότυπο.</x:v>
      </x:c>
      <x:c r="L7" s="2"/>
      <x:c r="M7" s="2"/>
    </x:row>
    <x:row r="8" ht="23" customHeight="1">
      <x:c r="A8" s="1"/>
      <x:c r="B8" s="1"/>
      <x:c r="C8" s="2" t="str">
        <x:v>Λειτουργικά κέρδη (EBIT)</x:v>
      </x:c>
      <x:c r="D8" s="15"/>
      <x:c r="E8" s="17" t="str">
        <x:f>IF(COUNT('Αποτελέσματα Χρήσης'!E16)&lt;1,"n.a.",IF(TRUE,'Αποτελέσματα Χρήσης'!E16,"n.a."))</x:f>
        <x:v>n.a.</x:v>
      </x:c>
      <x:c r="F8" s="17" t="str">
        <x:f>IF(COUNT('Αποτελέσματα Χρήσης'!F16)&lt;1,"n.a.",IF(TRUE,'Αποτελέσματα Χρήσης'!F16,"n.a."))</x:f>
        <x:v>n.a.</x:v>
      </x:c>
      <x:c r="G8" s="17" t="str">
        <x:f>IF(COUNT('Αποτελέσματα Χρήσης'!G16)&lt;1,"n.a.",IF(TRUE,'Αποτελέσματα Χρήσης'!G16,"n.a."))</x:f>
        <x:v>n.a.</x:v>
      </x:c>
      <x:c r="H8" s="17" t="str">
        <x:f>IF(COUNT('Αποτελέσματα Χρήσης'!H16)&lt;1,"n.a.",IF(TRUE,'Αποτελέσματα Χρήσης'!H16,"n.a."))</x:f>
        <x:v>n.a.</x:v>
      </x:c>
      <x:c r="I8" s="17" t="str">
        <x:f>IF(COUNT('Αποτελέσματα Χρήσης'!I16)&lt;1,"n.a.",IF(TRUE,'Αποτελέσματα Χρήσης'!I16,"n.a."))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" t="str">
        <x:v>Καθαρά κέρδη ομίλου</x:v>
      </x:c>
      <x:c r="D9" s="15"/>
      <x:c r="E9" s="16" t="str">
        <x:f>IF(COUNT('Αποτελέσματα Χρήσης'!E28)&lt;1,"n.a.",IF(TRUE,'Αποτελέσματα Χρήσης'!E28,"n.a."))</x:f>
        <x:v>n.a.</x:v>
      </x:c>
      <x:c r="F9" s="16" t="str">
        <x:f>IF(COUNT('Αποτελέσματα Χρήσης'!F28)&lt;1,"n.a.",IF(TRUE,'Αποτελέσματα Χρήσης'!F28,"n.a."))</x:f>
        <x:v>n.a.</x:v>
      </x:c>
      <x:c r="G9" s="16" t="str">
        <x:f>IF(COUNT('Αποτελέσματα Χρήσης'!G28)&lt;1,"n.a.",IF(TRUE,'Αποτελέσματα Χρήσης'!G28,"n.a."))</x:f>
        <x:v>n.a.</x:v>
      </x:c>
      <x:c r="H9" s="16" t="str">
        <x:f>IF(COUNT('Αποτελέσματα Χρήσης'!H28)&lt;1,"n.a.",IF(TRUE,'Αποτελέσματα Χρήσης'!H28,"n.a."))</x:f>
        <x:v>n.a.</x:v>
      </x:c>
      <x:c r="I9" s="16" t="str">
        <x:f>IF(COUNT('Αποτελέσματα Χρήσης'!I28)&lt;1,"n.a.",IF(TRUE,'Αποτελέσματα Χρήσης'!I28,"n.a."))</x:f>
        <x:v>n.a.</x:v>
      </x:c>
      <x:c r="J9" s="2"/>
      <x:c r="K9" s="2" t="str">
        <x:v>Εξετάστε τους Ελέγχους πριν ερμηνεύσετε δείκτες. Συγκρίνετε με τον ίδιο κλάδο.</x:v>
      </x:c>
      <x:c r="L9" s="2"/>
      <x:c r="M9" s="2"/>
    </x:row>
    <x:row r="10" ht="23" customHeight="1">
      <x:c r="A10" s="1"/>
      <x:c r="B10" s="1"/>
      <x:c r="C10" s="2" t="str">
        <x:v>Ελεύθερη ταμειακή ροή</x:v>
      </x:c>
      <x:c r="D10" s="15"/>
      <x:c r="E10" s="17" t="str">
        <x:f>IF(COUNT('Υπολογισμοί Κεφαλαίων'!E19)&lt;1,"n.a.",IF(TRUE,'Υπολογισμοί Κεφαλαίων'!E19,"n.a."))</x:f>
        <x:v>n.a.</x:v>
      </x:c>
      <x:c r="F10" s="17" t="str">
        <x:f>IF(COUNT('Υπολογισμοί Κεφαλαίων'!F19)&lt;1,"n.a.",IF(TRUE,'Υπολογισμοί Κεφαλαίων'!F19,"n.a."))</x:f>
        <x:v>n.a.</x:v>
      </x:c>
      <x:c r="G10" s="17" t="str">
        <x:f>IF(COUNT('Υπολογισμοί Κεφαλαίων'!G19)&lt;1,"n.a.",IF(TRUE,'Υπολογισμοί Κεφαλαίων'!G19,"n.a."))</x:f>
        <x:v>n.a.</x:v>
      </x:c>
      <x:c r="H10" s="17" t="str">
        <x:f>IF(COUNT('Υπολογισμοί Κεφαλαίων'!H19)&lt;1,"n.a.",IF(TRUE,'Υπολογισμοί Κεφαλαίων'!H19,"n.a."))</x:f>
        <x:v>n.a.</x:v>
      </x:c>
      <x:c r="I10" s="17" t="str">
        <x:f>IF(COUNT('Υπολογισμοί Κεφαλαίων'!I19)&lt;1,"n.a.",IF(TRUE,'Υπολογισμοί Κεφαλαίων'!I19,"n.a."))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Καθαρό χρέος</x:v>
      </x:c>
      <x:c r="D11" s="15"/>
      <x:c r="E11" s="16" t="str">
        <x:f>IF(COUNT('Υπολογισμοί Κεφαλαίων'!E9)&lt;1,"n.a.",IF(TRUE,'Υπολογισμοί Κεφαλαίων'!E9,"n.a."))</x:f>
        <x:v>n.a.</x:v>
      </x:c>
      <x:c r="F11" s="16" t="str">
        <x:f>IF(COUNT('Υπολογισμοί Κεφαλαίων'!F9)&lt;1,"n.a.",IF(TRUE,'Υπολογισμοί Κεφαλαίων'!F9,"n.a."))</x:f>
        <x:v>n.a.</x:v>
      </x:c>
      <x:c r="G11" s="16" t="str">
        <x:f>IF(COUNT('Υπολογισμοί Κεφαλαίων'!G9)&lt;1,"n.a.",IF(TRUE,'Υπολογισμοί Κεφαλαίων'!G9,"n.a."))</x:f>
        <x:v>n.a.</x:v>
      </x:c>
      <x:c r="H11" s="16" t="str">
        <x:f>IF(COUNT('Υπολογισμοί Κεφαλαίων'!H9)&lt;1,"n.a.",IF(TRUE,'Υπολογισμοί Κεφαλαίων'!H9,"n.a."))</x:f>
        <x:v>n.a.</x:v>
      </x:c>
      <x:c r="I11" s="16" t="str">
        <x:f>IF(COUNT('Υπολογισμοί Κεφαλαίων'!I9)&lt;1,"n.a.",IF(TRUE,'Υπολογισμοί Κεφαλαίων'!I9,"n.a."))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Λειτουργικό περιθώριο</x:v>
      </x:c>
      <x:c r="D12" s="21"/>
      <x:c r="E12" s="22" t="str">
        <x:f>IF(COUNT('Κερδοφορία'!E9)&lt;1,"n.a.",IF(TRUE,'Κερδοφορία'!E9,"n.a."))</x:f>
        <x:v>n.a.</x:v>
      </x:c>
      <x:c r="F12" s="22" t="str">
        <x:f>IF(COUNT('Κερδοφορία'!F9)&lt;1,"n.a.",IF(TRUE,'Κερδοφορία'!F9,"n.a."))</x:f>
        <x:v>n.a.</x:v>
      </x:c>
      <x:c r="G12" s="22" t="str">
        <x:f>IF(COUNT('Κερδοφορία'!G9)&lt;1,"n.a.",IF(TRUE,'Κερδοφορία'!G9,"n.a."))</x:f>
        <x:v>n.a.</x:v>
      </x:c>
      <x:c r="H12" s="22" t="str">
        <x:f>IF(COUNT('Κερδοφορία'!H9)&lt;1,"n.a.",IF(TRUE,'Κερδοφορία'!H9,"n.a."))</x:f>
        <x:v>n.a.</x:v>
      </x:c>
      <x:c r="I12" s="22" t="str">
        <x:f>IF(COUNT('Κερδοφορία'!I9)&lt;1,"n.a.",IF(TRUE,'Κερδοφορία'!I9,"n.a."))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ROE κοινών μετόχων</x:v>
      </x:c>
      <x:c r="D13" s="21"/>
      <x:c r="E13" s="23" t="str">
        <x:f>IF(COUNT('Κερδοφορία'!E16)&lt;1,"n.a.",IF(TRUE,'Κερδοφορία'!E16,"n.a."))</x:f>
        <x:v>n.a.</x:v>
      </x:c>
      <x:c r="F13" s="23" t="str">
        <x:f>IF(COUNT('Κερδοφορία'!F16)&lt;1,"n.a.",IF(TRUE,'Κερδοφορία'!F16,"n.a."))</x:f>
        <x:v>n.a.</x:v>
      </x:c>
      <x:c r="G13" s="23" t="str">
        <x:f>IF(COUNT('Κερδοφορία'!G16)&lt;1,"n.a.",IF(TRUE,'Κερδοφορία'!G16,"n.a."))</x:f>
        <x:v>n.a.</x:v>
      </x:c>
      <x:c r="H13" s="23" t="str">
        <x:f>IF(COUNT('Κερδοφορία'!H16)&lt;1,"n.a.",IF(TRUE,'Κερδοφορία'!H16,"n.a."))</x:f>
        <x:v>n.a.</x:v>
      </x:c>
      <x:c r="I13" s="23" t="str">
        <x:f>IF(COUNT('Κερδοφορία'!I16)&lt;1,"n.a.",IF(TRUE,'Κερδοφορία'!I16,"n.a."))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ROIC</x:v>
      </x:c>
      <x:c r="D14" s="21"/>
      <x:c r="E14" s="22" t="str">
        <x:f>IF(COUNT('Κερδοφορία'!E18)&lt;1,"n.a.",IF(TRUE,'Κερδοφορία'!E18,"n.a."))</x:f>
        <x:v>n.a.</x:v>
      </x:c>
      <x:c r="F14" s="22" t="str">
        <x:f>IF(COUNT('Κερδοφορία'!F18)&lt;1,"n.a.",IF(TRUE,'Κερδοφορία'!F18,"n.a."))</x:f>
        <x:v>n.a.</x:v>
      </x:c>
      <x:c r="G14" s="22" t="str">
        <x:f>IF(COUNT('Κερδοφορία'!G18)&lt;1,"n.a.",IF(TRUE,'Κερδοφορία'!G18,"n.a."))</x:f>
        <x:v>n.a.</x:v>
      </x:c>
      <x:c r="H14" s="22" t="str">
        <x:f>IF(COUNT('Κερδοφορία'!H18)&lt;1,"n.a.",IF(TRUE,'Κερδοφορία'!H18,"n.a."))</x:f>
        <x:v>n.a.</x:v>
      </x:c>
      <x:c r="I14" s="22" t="str">
        <x:f>IF(COUNT('Κερδοφορία'!I18)&lt;1,"n.a.",IF(TRUE,'Κερδοφορία'!I18,"n.a."))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Γενική ρευστότητα</x:v>
      </x:c>
      <x:c r="D15" s="26"/>
      <x:c r="E15" s="27" t="str">
        <x:f>IF(COUNT('Ρευστότητα'!E7)&lt;1,"n.a.",IF(TRUE,'Ρευστότητα'!E7,"n.a."))</x:f>
        <x:v>n.a.</x:v>
      </x:c>
      <x:c r="F15" s="27" t="str">
        <x:f>IF(COUNT('Ρευστότητα'!F7)&lt;1,"n.a.",IF(TRUE,'Ρευστότητα'!F7,"n.a."))</x:f>
        <x:v>n.a.</x:v>
      </x:c>
      <x:c r="G15" s="27" t="str">
        <x:f>IF(COUNT('Ρευστότητα'!G7)&lt;1,"n.a.",IF(TRUE,'Ρευστότητα'!G7,"n.a."))</x:f>
        <x:v>n.a.</x:v>
      </x:c>
      <x:c r="H15" s="27" t="str">
        <x:f>IF(COUNT('Ρευστότητα'!H7)&lt;1,"n.a.",IF(TRUE,'Ρευστότητα'!H7,"n.a."))</x:f>
        <x:v>n.a.</x:v>
      </x:c>
      <x:c r="I15" s="27" t="str">
        <x:f>IF(COUNT('Ρευστότητα'!I7)&lt;1,"n.a.",IF(TRUE,'Ρευστότητα'!I7,"n.a."))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Καθαρό χρέος προς EBITDA</x:v>
      </x:c>
      <x:c r="D16" s="26"/>
      <x:c r="E16" s="28" t="str">
        <x:f>IF(COUNT('Χρέος και Φερεγγυότητα'!E23)&lt;1,"n.a.",IF(TRUE,'Χρέος και Φερεγγυότητα'!E23,"n.a."))</x:f>
        <x:v>n.a.</x:v>
      </x:c>
      <x:c r="F16" s="28" t="str">
        <x:f>IF(COUNT('Χρέος και Φερεγγυότητα'!F23)&lt;1,"n.a.",IF(TRUE,'Χρέος και Φερεγγυότητα'!F23,"n.a."))</x:f>
        <x:v>n.a.</x:v>
      </x:c>
      <x:c r="G16" s="28" t="str">
        <x:f>IF(COUNT('Χρέος και Φερεγγυότητα'!G23)&lt;1,"n.a.",IF(TRUE,'Χρέος και Φερεγγυότητα'!G23,"n.a."))</x:f>
        <x:v>n.a.</x:v>
      </x:c>
      <x:c r="H16" s="28" t="str">
        <x:f>IF(COUNT('Χρέος και Φερεγγυότητα'!H23)&lt;1,"n.a.",IF(TRUE,'Χρέος και Φερεγγυότητα'!H23,"n.a."))</x:f>
        <x:v>n.a.</x:v>
      </x:c>
      <x:c r="I16" s="28" t="str">
        <x:f>IF(COUNT('Χρέος και Φερεγγυότητα'!I23)&lt;1,"n.a.",IF(TRUE,'Χρέος και Φερεγγυότητα'!I23,"n.a."))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" t="str">
        <x:v>Ταμειακός κύκλος σε ημέρες</x:v>
      </x:c>
      <x:c r="D17" s="15"/>
      <x:c r="E17" s="16" t="str">
        <x:f>IF(COUNT('Αποτελεσματικότητα'!E18)&lt;1,"n.a.",IF(TRUE,'Αποτελεσματικότητα'!E18,"n.a."))</x:f>
        <x:v>n.a.</x:v>
      </x:c>
      <x:c r="F17" s="16" t="str">
        <x:f>IF(COUNT('Αποτελεσματικότητα'!F18)&lt;1,"n.a.",IF(TRUE,'Αποτελεσματικότητα'!F18,"n.a."))</x:f>
        <x:v>n.a.</x:v>
      </x:c>
      <x:c r="G17" s="16" t="str">
        <x:f>IF(COUNT('Αποτελεσματικότητα'!G18)&lt;1,"n.a.",IF(TRUE,'Αποτελεσματικότητα'!G18,"n.a."))</x:f>
        <x:v>n.a.</x:v>
      </x:c>
      <x:c r="H17" s="16" t="str">
        <x:f>IF(COUNT('Αποτελεσματικότητα'!H18)&lt;1,"n.a.",IF(TRUE,'Αποτελεσματικότητα'!H18,"n.a."))</x:f>
        <x:v>n.a.</x:v>
      </x:c>
      <x:c r="I17" s="16" t="str">
        <x:f>IF(COUNT('Αποτελεσματικότητα'!I18)&lt;1,"n.a.",IF(TRUE,'Αποτελεσματικότητα'!I18,"n.a."))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Βασικά κέρδη ανά μετοχή</x:v>
      </x:c>
      <x:c r="D18" s="30"/>
      <x:c r="E18" s="31" t="str">
        <x:f>IF(COUNT('Αποτίμηση Μετοχής'!E8)&lt;1,"n.a.",IF(TRUE,'Αποτίμηση Μετοχής'!E8,"n.a."))</x:f>
        <x:v>n.a.</x:v>
      </x:c>
      <x:c r="F18" s="31" t="str">
        <x:f>IF(COUNT('Αποτίμηση Μετοχής'!F8)&lt;1,"n.a.",IF(TRUE,'Αποτίμηση Μετοχής'!F8,"n.a."))</x:f>
        <x:v>n.a.</x:v>
      </x:c>
      <x:c r="G18" s="31" t="str">
        <x:f>IF(COUNT('Αποτίμηση Μετοχής'!G8)&lt;1,"n.a.",IF(TRUE,'Αποτίμηση Μετοχής'!G8,"n.a."))</x:f>
        <x:v>n.a.</x:v>
      </x:c>
      <x:c r="H18" s="31" t="str">
        <x:f>IF(COUNT('Αποτίμηση Μετοχής'!H8)&lt;1,"n.a.",IF(TRUE,'Αποτίμηση Μετοχής'!H8,"n.a."))</x:f>
        <x:v>n.a.</x:v>
      </x:c>
      <x:c r="I18" s="31" t="str">
        <x:f>IF(COUNT('Αποτίμηση Μετοχής'!I8)&lt;1,"n.a.",IF(TRUE,'Αποτίμηση Μετοχής'!I8,"n.a."))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P/E</x:v>
      </x:c>
      <x:c r="D19" s="26"/>
      <x:c r="E19" s="27" t="str">
        <x:f>IF(COUNT('Αποτίμηση Μετοχής'!E16)&lt;1,"n.a.",IF(TRUE,'Αποτίμηση Μετοχής'!E16,"n.a."))</x:f>
        <x:v>n.a.</x:v>
      </x:c>
      <x:c r="F19" s="27" t="str">
        <x:f>IF(COUNT('Αποτίμηση Μετοχής'!F16)&lt;1,"n.a.",IF(TRUE,'Αποτίμηση Μετοχής'!F16,"n.a."))</x:f>
        <x:v>n.a.</x:v>
      </x:c>
      <x:c r="G19" s="27" t="str">
        <x:f>IF(COUNT('Αποτίμηση Μετοχής'!G16)&lt;1,"n.a.",IF(TRUE,'Αποτίμηση Μετοχής'!G16,"n.a."))</x:f>
        <x:v>n.a.</x:v>
      </x:c>
      <x:c r="H19" s="27" t="str">
        <x:f>IF(COUNT('Αποτίμηση Μετοχής'!H16)&lt;1,"n.a.",IF(TRUE,'Αποτίμηση Μετοχής'!H16,"n.a."))</x:f>
        <x:v>n.a.</x:v>
      </x:c>
      <x:c r="I19" s="27" t="str">
        <x:f>IF(COUNT('Αποτίμηση Μετοχής'!I16)&lt;1,"n.a.",IF(TRUE,'Αποτίμηση Μετοχής'!I16,"n.a."))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EV / EBITDA</x:v>
      </x:c>
      <x:c r="D20" s="26"/>
      <x:c r="E20" s="28" t="str">
        <x:f>IF(COUNT('Αποτίμηση Μετοχής'!E20)&lt;1,"n.a.",IF(TRUE,'Αποτίμηση Μετοχής'!E20,"n.a."))</x:f>
        <x:v>n.a.</x:v>
      </x:c>
      <x:c r="F20" s="28" t="str">
        <x:f>IF(COUNT('Αποτίμηση Μετοχής'!F20)&lt;1,"n.a.",IF(TRUE,'Αποτίμηση Μετοχής'!F20,"n.a."))</x:f>
        <x:v>n.a.</x:v>
      </x:c>
      <x:c r="G20" s="28" t="str">
        <x:f>IF(COUNT('Αποτίμηση Μετοχής'!G20)&lt;1,"n.a.",IF(TRUE,'Αποτίμηση Μετοχής'!G20,"n.a."))</x:f>
        <x:v>n.a.</x:v>
      </x:c>
      <x:c r="H20" s="28" t="str">
        <x:f>IF(COUNT('Αποτίμηση Μετοχής'!H20)&lt;1,"n.a.",IF(TRUE,'Αποτίμηση Μετοχής'!H20,"n.a."))</x:f>
        <x:v>n.a.</x:v>
      </x:c>
      <x:c r="I20" s="28" t="str">
        <x:f>IF(COUNT('Αποτίμηση Μετοχής'!I20)&lt;1,"n.a.",IF(TRUE,'Αποτίμηση Μετοχής'!I20,"n.a."))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Μερισματική απόδοση</x:v>
      </x:c>
      <x:c r="D21" s="21"/>
      <x:c r="E21" s="23" t="str">
        <x:f>IF(COUNT('Αποτίμηση Μετοχής'!E25)&lt;1,"n.a.",IF(TRUE,'Αποτίμηση Μετοχής'!E25,"n.a."))</x:f>
        <x:v>n.a.</x:v>
      </x:c>
      <x:c r="F21" s="23" t="str">
        <x:f>IF(COUNT('Αποτίμηση Μετοχής'!F25)&lt;1,"n.a.",IF(TRUE,'Αποτίμηση Μετοχής'!F25,"n.a."))</x:f>
        <x:v>n.a.</x:v>
      </x:c>
      <x:c r="G21" s="23" t="str">
        <x:f>IF(COUNT('Αποτίμηση Μετοχής'!G25)&lt;1,"n.a.",IF(TRUE,'Αποτίμηση Μετοχής'!G25,"n.a."))</x:f>
        <x:v>n.a.</x:v>
      </x:c>
      <x:c r="H21" s="23" t="str">
        <x:f>IF(COUNT('Αποτίμηση Μετοχής'!H25)&lt;1,"n.a.",IF(TRUE,'Αποτίμηση Μετοχής'!H25,"n.a."))</x:f>
        <x:v>n.a.</x:v>
      </x:c>
      <x:c r="I21" s="23" t="str">
        <x:f>IF(COUNT('Αποτίμηση Μετοχής'!I25)&lt;1,"n.a.",IF(TRUE,'Αποτίμηση Μετοχής'!I25,"n.a."))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 t="str">
        <x:v>Εκτίμηση τιμής βάσει P/E</x:v>
      </x:c>
      <x:c r="D22" s="30"/>
      <x:c r="E22" s="31" t="str">
        <x:f>IF(COUNT('Αποτίμηση Μετοχής'!E36)&lt;1,"n.a.",IF(TRUE,'Αποτίμηση Μετοχής'!E36,"n.a."))</x:f>
        <x:v>n.a.</x:v>
      </x:c>
      <x:c r="F22" s="31" t="str">
        <x:f>IF(COUNT('Αποτίμηση Μετοχής'!F36)&lt;1,"n.a.",IF(TRUE,'Αποτίμηση Μετοχής'!F36,"n.a."))</x:f>
        <x:v>n.a.</x:v>
      </x:c>
      <x:c r="G22" s="31" t="str">
        <x:f>IF(COUNT('Αποτίμηση Μετοχής'!G36)&lt;1,"n.a.",IF(TRUE,'Αποτίμηση Μετοχής'!G36,"n.a."))</x:f>
        <x:v>n.a.</x:v>
      </x:c>
      <x:c r="H22" s="31" t="str">
        <x:f>IF(COUNT('Αποτίμηση Μετοχής'!H36)&lt;1,"n.a.",IF(TRUE,'Αποτίμηση Μετοχής'!H36,"n.a."))</x:f>
        <x:v>n.a.</x:v>
      </x:c>
      <x:c r="I22" s="31" t="str">
        <x:f>IF(COUNT('Αποτίμηση Μετοχής'!I36)&lt;1,"n.a.",IF(TRUE,'Αποτίμηση Μετοχής'!I36,"n.a."))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" t="str">
        <x:v>Τιμή εισόδου μετά περιθώριο ασφαλείας</x:v>
      </x:c>
      <x:c r="D23" s="30"/>
      <x:c r="E23" s="32" t="str">
        <x:f>IF(COUNT('Αποτίμηση Μετοχής'!E39)&lt;1,"n.a.",IF(TRUE,'Αποτίμηση Μετοχής'!E39,"n.a."))</x:f>
        <x:v>n.a.</x:v>
      </x:c>
      <x:c r="F23" s="32" t="str">
        <x:f>IF(COUNT('Αποτίμηση Μετοχής'!F39)&lt;1,"n.a.",IF(TRUE,'Αποτίμηση Μετοχής'!F39,"n.a."))</x:f>
        <x:v>n.a.</x:v>
      </x:c>
      <x:c r="G23" s="32" t="str">
        <x:f>IF(COUNT('Αποτίμηση Μετοχής'!G39)&lt;1,"n.a.",IF(TRUE,'Αποτίμηση Μετοχής'!G39,"n.a."))</x:f>
        <x:v>n.a.</x:v>
      </x:c>
      <x:c r="H23" s="32" t="str">
        <x:f>IF(COUNT('Αποτίμηση Μετοχής'!H39)&lt;1,"n.a.",IF(TRUE,'Αποτίμηση Μετοχής'!H39,"n.a."))</x:f>
        <x:v>n.a.</x:v>
      </x:c>
      <x:c r="I23" s="32" t="str">
        <x:f>IF(COUNT('Αποτίμηση Μετοχής'!I39)&lt;1,"n.a.",IF(TRUE,'Αποτίμηση Μετοχής'!I39,"n.a."))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 t="str">
        <x:v>Έτος</x:v>
      </x:c>
      <x:c r="D28" s="2" t="str">
        <x:v>Πωλήσεις</x:v>
      </x:c>
      <x:c r="E28" s="2" t="str">
        <x:v>Καθαρά κέρδη</x:v>
      </x:c>
      <x:c r="F28" s="2"/>
      <x:c r="G28" s="2"/>
      <x:c r="H28" s="2"/>
      <x:c r="I28" s="2"/>
      <x:c r="J28" s="2"/>
      <x:c r="K28" s="2"/>
      <x:c r="L28" s="2"/>
      <x:c r="M28" s="2"/>
    </x:row>
    <x:row r="29">
      <x:c r="C29" t="str">
        <x:f>E$5&amp;""</x:f>
        <x:v>2021</x:v>
      </x:c>
      <x:c r="D29" s="89" t="str">
        <x:f>IF(COUNT('Αποτελέσματα Χρήσης'!E8)&lt;1,"n.a.",IF(TRUE,'Αποτελέσματα Χρήσης'!E8,"n.a."))</x:f>
        <x:v>n.a.</x:v>
      </x:c>
      <x:c r="E29" s="89" t="str">
        <x:f>IF(COUNT('Αποτελέσματα Χρήσης'!E28)&lt;1,"n.a.",IF(TRUE,'Αποτελέσματα Χρήσης'!E28,"n.a."))</x:f>
        <x:v>n.a.</x:v>
      </x:c>
    </x:row>
    <x:row r="30">
      <x:c r="C30" t="str">
        <x:f>F$5&amp;""</x:f>
        <x:v>2022</x:v>
      </x:c>
      <x:c r="D30" s="89" t="str">
        <x:f>IF(COUNT('Αποτελέσματα Χρήσης'!F8)&lt;1,"n.a.",IF(TRUE,'Αποτελέσματα Χρήσης'!F8,"n.a."))</x:f>
        <x:v>n.a.</x:v>
      </x:c>
      <x:c r="E30" s="89" t="str">
        <x:f>IF(COUNT('Αποτελέσματα Χρήσης'!F28)&lt;1,"n.a.",IF(TRUE,'Αποτελέσματα Χρήσης'!F28,"n.a."))</x:f>
        <x:v>n.a.</x:v>
      </x:c>
    </x:row>
    <x:row r="31">
      <x:c r="C31" t="str">
        <x:f>G$5&amp;""</x:f>
        <x:v>2023</x:v>
      </x:c>
      <x:c r="D31" s="89" t="str">
        <x:f>IF(COUNT('Αποτελέσματα Χρήσης'!G8)&lt;1,"n.a.",IF(TRUE,'Αποτελέσματα Χρήσης'!G8,"n.a."))</x:f>
        <x:v>n.a.</x:v>
      </x:c>
      <x:c r="E31" s="89" t="str">
        <x:f>IF(COUNT('Αποτελέσματα Χρήσης'!G28)&lt;1,"n.a.",IF(TRUE,'Αποτελέσματα Χρήσης'!G28,"n.a."))</x:f>
        <x:v>n.a.</x:v>
      </x:c>
    </x:row>
    <x:row r="32">
      <x:c r="C32" t="str">
        <x:f>H$5&amp;""</x:f>
        <x:v>2024</x:v>
      </x:c>
      <x:c r="D32" s="89" t="str">
        <x:f>IF(COUNT('Αποτελέσματα Χρήσης'!H8)&lt;1,"n.a.",IF(TRUE,'Αποτελέσματα Χρήσης'!H8,"n.a."))</x:f>
        <x:v>n.a.</x:v>
      </x:c>
      <x:c r="E32" s="89" t="str">
        <x:f>IF(COUNT('Αποτελέσματα Χρήσης'!H28)&lt;1,"n.a.",IF(TRUE,'Αποτελέσματα Χρήσης'!H28,"n.a."))</x:f>
        <x:v>n.a.</x:v>
      </x:c>
    </x:row>
    <x:row r="33">
      <x:c r="C33" t="str">
        <x:f>I$5&amp;""</x:f>
        <x:v>2025</x:v>
      </x:c>
      <x:c r="D33" s="89" t="str">
        <x:f>IF(COUNT('Αποτελέσματα Χρήσης'!I8)&lt;1,"n.a.",IF(TRUE,'Αποτελέσματα Χρήσης'!I8,"n.a."))</x:f>
        <x:v>n.a.</x:v>
      </x:c>
      <x:c r="E33" s="89" t="str">
        <x:f>IF(COUNT('Αποτελέσματα Χρήσης'!I28)&lt;1,"n.a.",IF(TRUE,'Αποτελέσματα Χρήσης'!I28,"n.a."))</x:f>
        <x:v>n.a.</x:v>
      </x:c>
    </x:row>
  </x:sheetData>
  <x:pageMargins left="0.7" right="0.7" top="0.75" bottom="0.75" header="0.3" footer="0.3"/>
  <x:drawing xmlns:r="http://schemas.openxmlformats.org/officeDocument/2006/relationships" r:id="R85e26cab800e431b"/>
</x:worksheet>
</file>

<file path=xl/worksheets/sheet2.xml><?xml version="1.0" encoding="utf-8"?>
<x:worksheet xmlns:x="http://schemas.openxmlformats.org/spreadsheetml/2006/main">
  <x:sheetPr>
    <x:tabColor rgb="FF5D789B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Ρυθμίσεις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Συμπληρώστε εταιρεία, μονάδες και τελευταία χρήση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 t="str">
        <x:v>Εταιρεία</x:v>
      </x:c>
      <x:c r="D6" s="2"/>
      <x:c r="E6" s="6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Κωδικός μετοχής</x:v>
      </x:c>
      <x:c r="D7" s="2"/>
      <x:c r="E7" s="6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2" t="str">
        <x:v>Κλάδος</x:v>
      </x:c>
      <x:c r="D8" s="2"/>
      <x:c r="E8" s="6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 t="str">
        <x:v>Νόμισμα καταστάσεων και τιμής μετοχής</x:v>
      </x:c>
      <x:c r="D9" s="2"/>
      <x:c r="E9" s="62" t="str">
        <x:v>EUR</x:v>
      </x:c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2" t="str">
        <x:v>Νομισματική κλίμακα (1 / 1.000 / 1.000.000)</x:v>
      </x:c>
      <x:c r="D10" s="2"/>
      <x:c r="E10" s="77" t="n">
        <x:v>1000000</x:v>
      </x:c>
      <x:c r="F10" s="2"/>
      <x:c r="G10" s="2"/>
      <x:c r="H10" s="2"/>
      <x:c r="I10" s="2"/>
      <x:c r="J10" s="2"/>
      <x:c r="K10" s="2" t="str">
        <x:v>Παράδειγμα: 120 σημαίνει 120 εκατομμύρια όταν η κλίμακα είναι 1.000.000.</x:v>
      </x:c>
      <x:c r="L10" s="2"/>
      <x:c r="M10" s="2"/>
    </x:row>
    <x:row r="11" ht="23" customHeight="1">
      <x:c r="A11" s="1"/>
      <x:c r="B11" s="1"/>
      <x:c r="C11" s="2" t="str">
        <x:v>Κλίμακα αριθμού μετοχών (1 / 1.000 / 1.000.000)</x:v>
      </x:c>
      <x:c r="D11" s="2"/>
      <x:c r="E11" s="77" t="n">
        <x:v>1000000</x:v>
      </x:c>
      <x:c r="F11" s="2"/>
      <x:c r="G11" s="2"/>
      <x:c r="H11" s="2"/>
      <x:c r="I11" s="2"/>
      <x:c r="J11" s="2"/>
      <x:c r="K11" s="2" t="str">
        <x:v>Παράδειγμα: 10 σημαίνει 10 εκατομμύρια μετοχές με κλίμακα 1.000.000.</x:v>
      </x:c>
      <x:c r="L11" s="2"/>
      <x:c r="M11" s="2"/>
    </x:row>
    <x:row r="12" ht="23" customHeight="1">
      <x:c r="A12" s="1"/>
      <x:c r="B12" s="1"/>
      <x:c r="C12" s="2" t="str">
        <x:v>Τελευταία χρήση, επεξεργάσιμη</x:v>
      </x:c>
      <x:c r="D12" s="2"/>
      <x:c r="E12" s="62" t="n">
        <x:v>2025</x:v>
      </x:c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 t="str">
        <x:v>Ημέρες για δείκτες κυκλοφορίας (360 ή 365)</x:v>
      </x:c>
      <x:c r="D13" s="2"/>
      <x:c r="E13" s="62" t="n">
        <x:v>365</x:v>
      </x:c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 t="str">
        <x:v>Ανοχή συμφωνίας στις μονάδες εμφάνισης</x:v>
      </x:c>
      <x:c r="D14" s="2"/>
      <x:c r="E14" s="78" t="n">
        <x:v>0.01</x:v>
      </x:c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 t="str">
        <x:v>Πεδίο αναφοράς</x:v>
      </x:c>
      <x:c r="D15" s="2"/>
      <x:c r="E15" s="62" t="str">
        <x:v>Ενοποιημένα</x:v>
      </x:c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 t="str">
        <x:v>Ξεκινήστε εδώ και εισαγάγετε δημοσιευμένα στοιχεία στις πέντε καρτέλες δεδομένων.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 t="str">
        <x:v>Κίτρινα κελιά: εισαγωγή. Μπλε αριθμοί: δεδομένα. Πράσινοι: συνδεδεμένοι υπολογισμοί.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 t="str">
        <x:v>Χρησιμοποιήστε μία εταιρεία ανά αρχείο. Αποθηκεύστε νέο αντίγραφο για άλλη εταιρεία.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 t="str">
        <x:v>Μηδέν μόνο όταν επιβεβαιώνεται ότι δεν υπάρχει ποσό. Άγνωστα ποσά παραμένουν κενά.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 t="str">
        <x:v>n.a.: λείπει απαιτούμενο στοιχείο ή ο παρονομαστής δεν δίνει χρήσιμο δείκτη.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 t="str">
        <x:v>Η στήλη D κρατά την προηγούμενη χρήση. Οι E:I περιέχουν τα πέντε έτη ανάλυσης.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 t="str">
        <x:v>Η αλλαγή χρήσης αλλάζει τις ετικέτες. Μετακινήστε ή καθαρίστε τα στοιχεία κατά την ανανέωση.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 t="str">
        <x:v>Χρησιμοποιήστε κοινή νομισματική κλίμακα, κλίμακα μετοχών και νόμισμα τιμής.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 t="str">
        <x:v>Τα σύνολα είναι δημοσιευμένα ποσά. Οι αναλυτικές γραμμές απαιτούνται για συμφωνία.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 t="str">
        <x:v>Τα ελληνικά και αγγλικά αρχεία είναι ανεξάρτητα αντίγραφα με ίδια λογική υπολογισμών.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dataValidations count="4">
    <x:dataValidation type="list" sqref="E10:E11">
      <x:formula1>"1,1000,1000000"</x:formula1>
    </x:dataValidation>
    <x:dataValidation type="list" sqref="E13">
      <x:formula1>"360,365"</x:formula1>
    </x:dataValidation>
    <x:dataValidation type="list" sqref="E15">
      <x:formula1>"Ενοποιημένα,Ατομικά"</x:formula1>
    </x:dataValidation>
    <x:dataValidation type="whole" operator="between" sqref="E12">
      <x:formula1>1900</x:formula1>
      <x:formula2>2200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Κερδοφορία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Περιθώρια κέρδους και αποδοτικότητα κεφαλαίων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Περιθώρια κέρδους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Περιθώριο μικτού κέρδους</x:v>
      </x:c>
      <x:c r="D8" s="21"/>
      <x:c r="E8" s="36" t="str">
        <x:f>IF(COUNT('Αποτελέσματα Χρήσης'!E10,'Αποτελέσματα Χρήσης'!E8)&lt;2,"n.a.",IF(('Αποτελέσματα Χρήσης'!E8)&gt;0,('Αποτελέσματα Χρήσης'!E10)/('Αποτελέσματα Χρήσης'!E8),"n.a."))</x:f>
        <x:v>n.a.</x:v>
      </x:c>
      <x:c r="F8" s="36" t="str">
        <x:f>IF(COUNT('Αποτελέσματα Χρήσης'!F10,'Αποτελέσματα Χρήσης'!F8)&lt;2,"n.a.",IF(('Αποτελέσματα Χρήσης'!F8)&gt;0,('Αποτελέσματα Χρήσης'!F10)/('Αποτελέσματα Χρήσης'!F8),"n.a."))</x:f>
        <x:v>n.a.</x:v>
      </x:c>
      <x:c r="G8" s="36" t="str">
        <x:f>IF(COUNT('Αποτελέσματα Χρήσης'!G10,'Αποτελέσματα Χρήσης'!G8)&lt;2,"n.a.",IF(('Αποτελέσματα Χρήσης'!G8)&gt;0,('Αποτελέσματα Χρήσης'!G10)/('Αποτελέσματα Χρήσης'!G8),"n.a."))</x:f>
        <x:v>n.a.</x:v>
      </x:c>
      <x:c r="H8" s="36" t="str">
        <x:f>IF(COUNT('Αποτελέσματα Χρήσης'!H10,'Αποτελέσματα Χρήσης'!H8)&lt;2,"n.a.",IF(('Αποτελέσματα Χρήσης'!H8)&gt;0,('Αποτελέσματα Χρήσης'!H10)/('Αποτελέσματα Χρήσης'!H8),"n.a."))</x:f>
        <x:v>n.a.</x:v>
      </x:c>
      <x:c r="I8" s="36" t="str">
        <x:f>IF(COUNT('Αποτελέσματα Χρήσης'!I10,'Αποτελέσματα Χρήσης'!I8)&lt;2,"n.a.",IF(('Αποτελέσματα Χρήσης'!I8)&gt;0,('Αποτελέσματα Χρήσης'!I10)/('Αποτελέσματα Χρήσης'!I8),"n.a."))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Περιθώριο λειτουργικού κέρδους (EBIT)</x:v>
      </x:c>
      <x:c r="D9" s="21"/>
      <x:c r="E9" s="37" t="str">
        <x:f>IF(COUNT('Αποτελέσματα Χρήσης'!E16,'Αποτελέσματα Χρήσης'!E8)&lt;2,"n.a.",IF(('Αποτελέσματα Χρήσης'!E8)&gt;0,('Αποτελέσματα Χρήσης'!E16)/('Αποτελέσματα Χρήσης'!E8),"n.a."))</x:f>
        <x:v>n.a.</x:v>
      </x:c>
      <x:c r="F9" s="37" t="str">
        <x:f>IF(COUNT('Αποτελέσματα Χρήσης'!F16,'Αποτελέσματα Χρήσης'!F8)&lt;2,"n.a.",IF(('Αποτελέσματα Χρήσης'!F8)&gt;0,('Αποτελέσματα Χρήσης'!F16)/('Αποτελέσματα Χρήσης'!F8),"n.a."))</x:f>
        <x:v>n.a.</x:v>
      </x:c>
      <x:c r="G9" s="37" t="str">
        <x:f>IF(COUNT('Αποτελέσματα Χρήσης'!G16,'Αποτελέσματα Χρήσης'!G8)&lt;2,"n.a.",IF(('Αποτελέσματα Χρήσης'!G8)&gt;0,('Αποτελέσματα Χρήσης'!G16)/('Αποτελέσματα Χρήσης'!G8),"n.a."))</x:f>
        <x:v>n.a.</x:v>
      </x:c>
      <x:c r="H9" s="37" t="str">
        <x:f>IF(COUNT('Αποτελέσματα Χρήσης'!H16,'Αποτελέσματα Χρήσης'!H8)&lt;2,"n.a.",IF(('Αποτελέσματα Χρήσης'!H8)&gt;0,('Αποτελέσματα Χρήσης'!H16)/('Αποτελέσματα Χρήσης'!H8),"n.a."))</x:f>
        <x:v>n.a.</x:v>
      </x:c>
      <x:c r="I9" s="37" t="str">
        <x:f>IF(COUNT('Αποτελέσματα Χρήσης'!I16,'Αποτελέσματα Χρήσης'!I8)&lt;2,"n.a.",IF(('Αποτελέσματα Χρήσης'!I8)&gt;0,('Αποτελέσματα Χρήσης'!I16)/('Αποτελέσματα Χρήσης'!I8),"n.a."))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Περιθώριο EBITDA</x:v>
      </x:c>
      <x:c r="D10" s="21"/>
      <x:c r="E10" s="36" t="str">
        <x:f>IF(COUNT('Υπολογισμοί Κεφαλαίων'!E16,'Αποτελέσματα Χρήσης'!E8)&lt;2,"n.a.",IF(('Αποτελέσματα Χρήσης'!E8)&gt;0,('Υπολογισμοί Κεφαλαίων'!E16)/('Αποτελέσματα Χρήσης'!E8),"n.a."))</x:f>
        <x:v>n.a.</x:v>
      </x:c>
      <x:c r="F10" s="36" t="str">
        <x:f>IF(COUNT('Υπολογισμοί Κεφαλαίων'!F16,'Αποτελέσματα Χρήσης'!F8)&lt;2,"n.a.",IF(('Αποτελέσματα Χρήσης'!F8)&gt;0,('Υπολογισμοί Κεφαλαίων'!F16)/('Αποτελέσματα Χρήσης'!F8),"n.a."))</x:f>
        <x:v>n.a.</x:v>
      </x:c>
      <x:c r="G10" s="36" t="str">
        <x:f>IF(COUNT('Υπολογισμοί Κεφαλαίων'!G16,'Αποτελέσματα Χρήσης'!G8)&lt;2,"n.a.",IF(('Αποτελέσματα Χρήσης'!G8)&gt;0,('Υπολογισμοί Κεφαλαίων'!G16)/('Αποτελέσματα Χρήσης'!G8),"n.a."))</x:f>
        <x:v>n.a.</x:v>
      </x:c>
      <x:c r="H10" s="36" t="str">
        <x:f>IF(COUNT('Υπολογισμοί Κεφαλαίων'!H16,'Αποτελέσματα Χρήσης'!H8)&lt;2,"n.a.",IF(('Αποτελέσματα Χρήσης'!H8)&gt;0,('Υπολογισμοί Κεφαλαίων'!H16)/('Αποτελέσματα Χρήσης'!H8),"n.a."))</x:f>
        <x:v>n.a.</x:v>
      </x:c>
      <x:c r="I10" s="36" t="str">
        <x:f>IF(COUNT('Υπολογισμοί Κεφαλαίων'!I16,'Αποτελέσματα Χρήσης'!I8)&lt;2,"n.a.",IF(('Αποτελέσματα Χρήσης'!I8)&gt;0,('Υπολογισμοί Κεφαλαίων'!I16)/('Αποτελέσματα Χρήσης'!I8),"n.a."))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Περιθώριο κέρδους προ φόρων</x:v>
      </x:c>
      <x:c r="D11" s="21"/>
      <x:c r="E11" s="37" t="str">
        <x:f>IF(COUNT('Αποτελέσματα Χρήσης'!E25,'Αποτελέσματα Χρήσης'!E8)&lt;2,"n.a.",IF(('Αποτελέσματα Χρήσης'!E8)&gt;0,('Αποτελέσματα Χρήσης'!E25)/('Αποτελέσματα Χρήσης'!E8),"n.a."))</x:f>
        <x:v>n.a.</x:v>
      </x:c>
      <x:c r="F11" s="37" t="str">
        <x:f>IF(COUNT('Αποτελέσματα Χρήσης'!F25,'Αποτελέσματα Χρήσης'!F8)&lt;2,"n.a.",IF(('Αποτελέσματα Χρήσης'!F8)&gt;0,('Αποτελέσματα Χρήσης'!F25)/('Αποτελέσματα Χρήσης'!F8),"n.a."))</x:f>
        <x:v>n.a.</x:v>
      </x:c>
      <x:c r="G11" s="37" t="str">
        <x:f>IF(COUNT('Αποτελέσματα Χρήσης'!G25,'Αποτελέσματα Χρήσης'!G8)&lt;2,"n.a.",IF(('Αποτελέσματα Χρήσης'!G8)&gt;0,('Αποτελέσματα Χρήσης'!G25)/('Αποτελέσματα Χρήσης'!G8),"n.a."))</x:f>
        <x:v>n.a.</x:v>
      </x:c>
      <x:c r="H11" s="37" t="str">
        <x:f>IF(COUNT('Αποτελέσματα Χρήσης'!H25,'Αποτελέσματα Χρήσης'!H8)&lt;2,"n.a.",IF(('Αποτελέσματα Χρήσης'!H8)&gt;0,('Αποτελέσματα Χρήσης'!H25)/('Αποτελέσματα Χρήσης'!H8),"n.a."))</x:f>
        <x:v>n.a.</x:v>
      </x:c>
      <x:c r="I11" s="37" t="str">
        <x:f>IF(COUNT('Αποτελέσματα Χρήσης'!I25,'Αποτελέσματα Χρήσης'!I8)&lt;2,"n.a.",IF(('Αποτελέσματα Χρήσης'!I8)&gt;0,('Αποτελέσματα Χρήσης'!I25)/('Αποτελέσματα Χρήσης'!I8),"n.a."))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Περιθώριο καθαρού κέρδους ομίλου</x:v>
      </x:c>
      <x:c r="D12" s="21"/>
      <x:c r="E12" s="36" t="str">
        <x:f>IF(COUNT('Αποτελέσματα Χρήσης'!E28,'Αποτελέσματα Χρήσης'!E8)&lt;2,"n.a.",IF(('Αποτελέσματα Χρήσης'!E8)&gt;0,('Αποτελέσματα Χρήσης'!E28)/('Αποτελέσματα Χρήσης'!E8),"n.a."))</x:f>
        <x:v>n.a.</x:v>
      </x:c>
      <x:c r="F12" s="36" t="str">
        <x:f>IF(COUNT('Αποτελέσματα Χρήσης'!F28,'Αποτελέσματα Χρήσης'!F8)&lt;2,"n.a.",IF(('Αποτελέσματα Χρήσης'!F8)&gt;0,('Αποτελέσματα Χρήσης'!F28)/('Αποτελέσματα Χρήσης'!F8),"n.a."))</x:f>
        <x:v>n.a.</x:v>
      </x:c>
      <x:c r="G12" s="36" t="str">
        <x:f>IF(COUNT('Αποτελέσματα Χρήσης'!G28,'Αποτελέσματα Χρήσης'!G8)&lt;2,"n.a.",IF(('Αποτελέσματα Χρήσης'!G8)&gt;0,('Αποτελέσματα Χρήσης'!G28)/('Αποτελέσματα Χρήσης'!G8),"n.a."))</x:f>
        <x:v>n.a.</x:v>
      </x:c>
      <x:c r="H12" s="36" t="str">
        <x:f>IF(COUNT('Αποτελέσματα Χρήσης'!H28,'Αποτελέσματα Χρήσης'!H8)&lt;2,"n.a.",IF(('Αποτελέσματα Χρήσης'!H8)&gt;0,('Αποτελέσματα Χρήσης'!H28)/('Αποτελέσματα Χρήσης'!H8),"n.a."))</x:f>
        <x:v>n.a.</x:v>
      </x:c>
      <x:c r="I12" s="36" t="str">
        <x:f>IF(COUNT('Αποτελέσματα Χρήσης'!I28,'Αποτελέσματα Χρήσης'!I8)&lt;2,"n.a.",IF(('Αποτελέσματα Χρήσης'!I8)&gt;0,('Αποτελέσματα Χρήσης'!I28)/('Αποτελέσματα Χρήσης'!I8),"n.a."))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Λόγος λειτουργικών εξόδων</x:v>
      </x:c>
      <x:c r="D13" s="21"/>
      <x:c r="E13" s="37" t="str">
        <x:f>IF(COUNT('Υπολογισμοί Κεφαλαίων'!E17,'Αποτελέσματα Χρήσης'!E8)&lt;2,"n.a.",IF(('Αποτελέσματα Χρήσης'!E8)&gt;0,('Υπολογισμοί Κεφαλαίων'!E17)/('Αποτελέσματα Χρήσης'!E8),"n.a."))</x:f>
        <x:v>n.a.</x:v>
      </x:c>
      <x:c r="F13" s="37" t="str">
        <x:f>IF(COUNT('Υπολογισμοί Κεφαλαίων'!F17,'Αποτελέσματα Χρήσης'!F8)&lt;2,"n.a.",IF(('Αποτελέσματα Χρήσης'!F8)&gt;0,('Υπολογισμοί Κεφαλαίων'!F17)/('Αποτελέσματα Χρήσης'!F8),"n.a."))</x:f>
        <x:v>n.a.</x:v>
      </x:c>
      <x:c r="G13" s="37" t="str">
        <x:f>IF(COUNT('Υπολογισμοί Κεφαλαίων'!G17,'Αποτελέσματα Χρήσης'!G8)&lt;2,"n.a.",IF(('Αποτελέσματα Χρήσης'!G8)&gt;0,('Υπολογισμοί Κεφαλαίων'!G17)/('Αποτελέσματα Χρήσης'!G8),"n.a."))</x:f>
        <x:v>n.a.</x:v>
      </x:c>
      <x:c r="H13" s="37" t="str">
        <x:f>IF(COUNT('Υπολογισμοί Κεφαλαίων'!H17,'Αποτελέσματα Χρήσης'!H8)&lt;2,"n.a.",IF(('Αποτελέσματα Χρήσης'!H8)&gt;0,('Υπολογισμοί Κεφαλαίων'!H17)/('Αποτελέσματα Χρήσης'!H8),"n.a."))</x:f>
        <x:v>n.a.</x:v>
      </x:c>
      <x:c r="I13" s="37" t="str">
        <x:f>IF(COUNT('Υπολογισμοί Κεφαλαίων'!I17,'Αποτελέσματα Χρήσης'!I8)&lt;2,"n.a.",IF(('Αποτελέσματα Χρήσης'!I8)&gt;0,('Υπολογισμοί Κεφαλαίων'!I17)/('Αποτελέσματα Χρήσης'!I8),"n.a."))</x:f>
        <x:v>n.a.</x:v>
      </x:c>
      <x:c r="J13" s="2"/>
      <x:c r="K13" s="2"/>
      <x:c r="L13" s="2"/>
      <x:c r="M13" s="2"/>
    </x:row>
    <x:row r="14" ht="25" customHeight="1">
      <x:c r="A14" s="1"/>
      <x:c r="B14" s="1"/>
      <x:c r="C14" s="34" t="str">
        <x:v>Αποδοτικότητα κεφαλαίων</x:v>
      </x:c>
      <x:c r="D14" s="34"/>
      <x:c r="E14" s="34"/>
      <x:c r="F14" s="34"/>
      <x:c r="G14" s="34"/>
      <x:c r="H14" s="34"/>
      <x:c r="I14" s="34"/>
      <x:c r="J14" s="2"/>
      <x:c r="K14" s="2"/>
      <x:c r="L14" s="2"/>
      <x:c r="M14" s="2"/>
    </x:row>
    <x:row r="15" ht="23" customHeight="1">
      <x:c r="A15" s="1"/>
      <x:c r="B15" s="1"/>
      <x:c r="C15" s="20" t="str">
        <x:v>ROE με μέσα ίδια κεφάλαια ομίλου</x:v>
      </x:c>
      <x:c r="D15" s="21"/>
      <x:c r="E15" s="37" t="str">
        <x:f>IF(COUNT('Αποτελέσματα Χρήσης'!E28,'Υπολογισμοί Κεφαλαίων'!E23)&lt;2,"n.a.",IF(('Υπολογισμοί Κεφαλαίων'!E23)&gt;0,('Αποτελέσματα Χρήσης'!E28)/('Υπολογισμοί Κεφαλαίων'!E23),"n.a."))</x:f>
        <x:v>n.a.</x:v>
      </x:c>
      <x:c r="F15" s="37" t="str">
        <x:f>IF(COUNT('Αποτελέσματα Χρήσης'!F28,'Υπολογισμοί Κεφαλαίων'!F23)&lt;2,"n.a.",IF(('Υπολογισμοί Κεφαλαίων'!F23)&gt;0,('Αποτελέσματα Χρήσης'!F28)/('Υπολογισμοί Κεφαλαίων'!F23),"n.a."))</x:f>
        <x:v>n.a.</x:v>
      </x:c>
      <x:c r="G15" s="37" t="str">
        <x:f>IF(COUNT('Αποτελέσματα Χρήσης'!G28,'Υπολογισμοί Κεφαλαίων'!G23)&lt;2,"n.a.",IF(('Υπολογισμοί Κεφαλαίων'!G23)&gt;0,('Αποτελέσματα Χρήσης'!G28)/('Υπολογισμοί Κεφαλαίων'!G23),"n.a."))</x:f>
        <x:v>n.a.</x:v>
      </x:c>
      <x:c r="H15" s="37" t="str">
        <x:f>IF(COUNT('Αποτελέσματα Χρήσης'!H28,'Υπολογισμοί Κεφαλαίων'!H23)&lt;2,"n.a.",IF(('Υπολογισμοί Κεφαλαίων'!H23)&gt;0,('Αποτελέσματα Χρήσης'!H28)/('Υπολογισμοί Κεφαλαίων'!H23),"n.a."))</x:f>
        <x:v>n.a.</x:v>
      </x:c>
      <x:c r="I15" s="37" t="str">
        <x:f>IF(COUNT('Αποτελέσματα Χρήσης'!I28,'Υπολογισμοί Κεφαλαίων'!I23)&lt;2,"n.a.",IF(('Υπολογισμοί Κεφαλαίων'!I23)&gt;0,('Αποτελέσματα Χρήσης'!I28)/('Υπολογισμοί Κεφαλαίων'!I23),"n.a."))</x:f>
        <x:v>n.a.</x:v>
      </x:c>
      <x:c r="J15" s="2"/>
      <x:c r="K15" s="2" t="str">
        <x:v>Καθαρά κέρδη ομίλου / μέσα συνολικά ίδια κεφάλαια.</x:v>
      </x:c>
      <x:c r="L15" s="2"/>
      <x:c r="M15" s="2"/>
    </x:row>
    <x:row r="16" ht="23" customHeight="1">
      <x:c r="A16" s="1"/>
      <x:c r="B16" s="1"/>
      <x:c r="C16" s="20" t="str">
        <x:v>ROE κοινών μετόχων</x:v>
      </x:c>
      <x:c r="D16" s="21"/>
      <x:c r="E16" s="36" t="str">
        <x:f>IF(COUNT('Υπολογισμοί Κεφαλαίων'!E15,'Υπολογισμοί Κεφαλαίων'!E24)&lt;2,"n.a.",IF(('Υπολογισμοί Κεφαλαίων'!E24)&gt;0,('Υπολογισμοί Κεφαλαίων'!E15)/('Υπολογισμοί Κεφαλαίων'!E24),"n.a."))</x:f>
        <x:v>n.a.</x:v>
      </x:c>
      <x:c r="F16" s="36" t="str">
        <x:f>IF(COUNT('Υπολογισμοί Κεφαλαίων'!F15,'Υπολογισμοί Κεφαλαίων'!F24)&lt;2,"n.a.",IF(('Υπολογισμοί Κεφαλαίων'!F24)&gt;0,('Υπολογισμοί Κεφαλαίων'!F15)/('Υπολογισμοί Κεφαλαίων'!F24),"n.a."))</x:f>
        <x:v>n.a.</x:v>
      </x:c>
      <x:c r="G16" s="36" t="str">
        <x:f>IF(COUNT('Υπολογισμοί Κεφαλαίων'!G15,'Υπολογισμοί Κεφαλαίων'!G24)&lt;2,"n.a.",IF(('Υπολογισμοί Κεφαλαίων'!G24)&gt;0,('Υπολογισμοί Κεφαλαίων'!G15)/('Υπολογισμοί Κεφαλαίων'!G24),"n.a."))</x:f>
        <x:v>n.a.</x:v>
      </x:c>
      <x:c r="H16" s="36" t="str">
        <x:f>IF(COUNT('Υπολογισμοί Κεφαλαίων'!H15,'Υπολογισμοί Κεφαλαίων'!H24)&lt;2,"n.a.",IF(('Υπολογισμοί Κεφαλαίων'!H24)&gt;0,('Υπολογισμοί Κεφαλαίων'!H15)/('Υπολογισμοί Κεφαλαίων'!H24),"n.a."))</x:f>
        <x:v>n.a.</x:v>
      </x:c>
      <x:c r="I16" s="36" t="str">
        <x:f>IF(COUNT('Υπολογισμοί Κεφαλαίων'!I15,'Υπολογισμοί Κεφαλαίων'!I24)&lt;2,"n.a.",IF(('Υπολογισμοί Κεφαλαίων'!I24)&gt;0,('Υπολογισμοί Κεφαλαίων'!I15)/('Υπολογισμοί Κεφαλαίων'!I24),"n.a."))</x:f>
        <x:v>n.a.</x:v>
      </x:c>
      <x:c r="J16" s="2"/>
      <x:c r="K16" s="2" t="str">
        <x:v>Κέρδη κοινών μετόχων / μέσα αντίστοιχα ίδια κεφάλαια.</x:v>
      </x:c>
      <x:c r="L16" s="2"/>
      <x:c r="M16" s="2"/>
    </x:row>
    <x:row r="17" ht="23" customHeight="1">
      <x:c r="A17" s="1"/>
      <x:c r="B17" s="1"/>
      <x:c r="C17" s="20" t="str">
        <x:v>ROA με μέσο ενεργητικό</x:v>
      </x:c>
      <x:c r="D17" s="21"/>
      <x:c r="E17" s="37" t="str">
        <x:f>IF(COUNT('Αποτελέσματα Χρήσης'!E28,'Υπολογισμοί Κεφαλαίων'!E22)&lt;2,"n.a.",IF(('Υπολογισμοί Κεφαλαίων'!E22)&gt;0,('Αποτελέσματα Χρήσης'!E28)/('Υπολογισμοί Κεφαλαίων'!E22),"n.a."))</x:f>
        <x:v>n.a.</x:v>
      </x:c>
      <x:c r="F17" s="37" t="str">
        <x:f>IF(COUNT('Αποτελέσματα Χρήσης'!F28,'Υπολογισμοί Κεφαλαίων'!F22)&lt;2,"n.a.",IF(('Υπολογισμοί Κεφαλαίων'!F22)&gt;0,('Αποτελέσματα Χρήσης'!F28)/('Υπολογισμοί Κεφαλαίων'!F22),"n.a."))</x:f>
        <x:v>n.a.</x:v>
      </x:c>
      <x:c r="G17" s="37" t="str">
        <x:f>IF(COUNT('Αποτελέσματα Χρήσης'!G28,'Υπολογισμοί Κεφαλαίων'!G22)&lt;2,"n.a.",IF(('Υπολογισμοί Κεφαλαίων'!G22)&gt;0,('Αποτελέσματα Χρήσης'!G28)/('Υπολογισμοί Κεφαλαίων'!G22),"n.a."))</x:f>
        <x:v>n.a.</x:v>
      </x:c>
      <x:c r="H17" s="37" t="str">
        <x:f>IF(COUNT('Αποτελέσματα Χρήσης'!H28,'Υπολογισμοί Κεφαλαίων'!H22)&lt;2,"n.a.",IF(('Υπολογισμοί Κεφαλαίων'!H22)&gt;0,('Αποτελέσματα Χρήσης'!H28)/('Υπολογισμοί Κεφαλαίων'!H22),"n.a."))</x:f>
        <x:v>n.a.</x:v>
      </x:c>
      <x:c r="I17" s="37" t="str">
        <x:f>IF(COUNT('Αποτελέσματα Χρήσης'!I28,'Υπολογισμοί Κεφαλαίων'!I22)&lt;2,"n.a.",IF(('Υπολογισμοί Κεφαλαίων'!I22)&gt;0,('Αποτελέσματα Χρήσης'!I28)/('Υπολογισμοί Κεφαλαίων'!I22),"n.a."))</x:f>
        <x:v>n.a.</x:v>
      </x:c>
      <x:c r="J17" s="2"/>
      <x:c r="K17" s="2" t="str">
        <x:v>Καθαρά κέρδη ομίλου / μέσο ενεργητικό.</x:v>
      </x:c>
      <x:c r="L17" s="2"/>
      <x:c r="M17" s="2"/>
    </x:row>
    <x:row r="18" ht="23" customHeight="1">
      <x:c r="A18" s="1"/>
      <x:c r="B18" s="1"/>
      <x:c r="C18" s="20" t="str">
        <x:v>ROIC μετά προσαρμογή διαθεσίμων</x:v>
      </x:c>
      <x:c r="D18" s="21"/>
      <x:c r="E18" s="36" t="str">
        <x:f>IF(COUNT('Υπολογισμοί Κεφαλαίων'!E18,'Υπολογισμοί Κεφαλαίων'!E30)&lt;2,"n.a.",IF(('Υπολογισμοί Κεφαλαίων'!E30)&gt;0,('Υπολογισμοί Κεφαλαίων'!E18)/('Υπολογισμοί Κεφαλαίων'!E30),"n.a."))</x:f>
        <x:v>n.a.</x:v>
      </x:c>
      <x:c r="F18" s="36" t="str">
        <x:f>IF(COUNT('Υπολογισμοί Κεφαλαίων'!F18,'Υπολογισμοί Κεφαλαίων'!F30)&lt;2,"n.a.",IF(('Υπολογισμοί Κεφαλαίων'!F30)&gt;0,('Υπολογισμοί Κεφαλαίων'!F18)/('Υπολογισμοί Κεφαλαίων'!F30),"n.a."))</x:f>
        <x:v>n.a.</x:v>
      </x:c>
      <x:c r="G18" s="36" t="str">
        <x:f>IF(COUNT('Υπολογισμοί Κεφαλαίων'!G18,'Υπολογισμοί Κεφαλαίων'!G30)&lt;2,"n.a.",IF(('Υπολογισμοί Κεφαλαίων'!G30)&gt;0,('Υπολογισμοί Κεφαλαίων'!G18)/('Υπολογισμοί Κεφαλαίων'!G30),"n.a."))</x:f>
        <x:v>n.a.</x:v>
      </x:c>
      <x:c r="H18" s="36" t="str">
        <x:f>IF(COUNT('Υπολογισμοί Κεφαλαίων'!H18,'Υπολογισμοί Κεφαλαίων'!H30)&lt;2,"n.a.",IF(('Υπολογισμοί Κεφαλαίων'!H30)&gt;0,('Υπολογισμοί Κεφαλαίων'!H18)/('Υπολογισμοί Κεφαλαίων'!H30),"n.a."))</x:f>
        <x:v>n.a.</x:v>
      </x:c>
      <x:c r="I18" s="36" t="str">
        <x:f>IF(COUNT('Υπολογισμοί Κεφαλαίων'!I18,'Υπολογισμοί Κεφαλαίων'!I30)&lt;2,"n.a.",IF(('Υπολογισμοί Κεφαλαίων'!I30)&gt;0,('Υπολογισμοί Κεφαλαίων'!I18)/('Υπολογισμοί Κεφαλαίων'!I30),"n.a."))</x:f>
        <x:v>n.a.</x:v>
      </x:c>
      <x:c r="J18" s="2"/>
      <x:c r="K18" s="2" t="str">
        <x:v>NOPAT / μέσα επενδεδυμένα κεφάλαια μετά διαθέσιμα.</x:v>
      </x:c>
      <x:c r="L18" s="2"/>
      <x:c r="M18" s="2"/>
    </x:row>
    <x:row r="19" ht="23" customHeight="1">
      <x:c r="A19" s="1"/>
      <x:c r="B19" s="1"/>
      <x:c r="C19" s="20" t="str">
        <x:v>Αποδοτικότητα απασχολούμενων κεφαλαίων</x:v>
      </x:c>
      <x:c r="D19" s="21"/>
      <x:c r="E19" s="37" t="str">
        <x:f>IF(COUNT('Αποτελέσματα Χρήσης'!E16,'Υπολογισμοί Κεφαλαίων'!E31)&lt;2,"n.a.",IF(('Υπολογισμοί Κεφαλαίων'!E31)&gt;0,('Αποτελέσματα Χρήσης'!E16)/('Υπολογισμοί Κεφαλαίων'!E31),"n.a."))</x:f>
        <x:v>n.a.</x:v>
      </x:c>
      <x:c r="F19" s="37" t="str">
        <x:f>IF(COUNT('Αποτελέσματα Χρήσης'!F16,'Υπολογισμοί Κεφαλαίων'!F31)&lt;2,"n.a.",IF(('Υπολογισμοί Κεφαλαίων'!F31)&gt;0,('Αποτελέσματα Χρήσης'!F16)/('Υπολογισμοί Κεφαλαίων'!F31),"n.a."))</x:f>
        <x:v>n.a.</x:v>
      </x:c>
      <x:c r="G19" s="37" t="str">
        <x:f>IF(COUNT('Αποτελέσματα Χρήσης'!G16,'Υπολογισμοί Κεφαλαίων'!G31)&lt;2,"n.a.",IF(('Υπολογισμοί Κεφαλαίων'!G31)&gt;0,('Αποτελέσματα Χρήσης'!G16)/('Υπολογισμοί Κεφαλαίων'!G31),"n.a."))</x:f>
        <x:v>n.a.</x:v>
      </x:c>
      <x:c r="H19" s="37" t="str">
        <x:f>IF(COUNT('Αποτελέσματα Χρήσης'!H16,'Υπολογισμοί Κεφαλαίων'!H31)&lt;2,"n.a.",IF(('Υπολογισμοί Κεφαλαίων'!H31)&gt;0,('Αποτελέσματα Χρήσης'!H16)/('Υπολογισμοί Κεφαλαίων'!H31),"n.a."))</x:f>
        <x:v>n.a.</x:v>
      </x:c>
      <x:c r="I19" s="37" t="str">
        <x:f>IF(COUNT('Αποτελέσματα Χρήσης'!I16,'Υπολογισμοί Κεφαλαίων'!I31)&lt;2,"n.a.",IF(('Υπολογισμοί Κεφαλαίων'!I31)&gt;0,('Αποτελέσματα Χρήσης'!I16)/('Υπολογισμοί Κεφαλαίων'!I31),"n.a."))</x:f>
        <x:v>n.a.</x:v>
      </x:c>
      <x:c r="J19" s="2"/>
      <x:c r="K19" s="2" t="str">
        <x:v>EBIT / μέσο (ενεργητικό − βραχυπρόθεσμες υποχρεώσεις).</x:v>
      </x:c>
      <x:c r="L19" s="2"/>
      <x:c r="M19" s="2"/>
    </x:row>
    <x:row r="20" ht="23" customHeight="1">
      <x:c r="A20" s="1"/>
      <x:c r="B20" s="1"/>
      <x:c r="C20" s="20" t="str">
        <x:v>ROE προ φόρων με τελικά ίδια κεφάλαια</x:v>
      </x:c>
      <x:c r="D20" s="21"/>
      <x:c r="E20" s="36" t="str">
        <x:f>IF(COUNT('Αποτελέσματα Χρήσης'!E25,'Ισολογισμός'!E52)&lt;2,"n.a.",IF(('Ισολογισμός'!E52)&gt;0,('Αποτελέσματα Χρήσης'!E25)/('Ισολογισμός'!E52),"n.a."))</x:f>
        <x:v>n.a.</x:v>
      </x:c>
      <x:c r="F20" s="36" t="str">
        <x:f>IF(COUNT('Αποτελέσματα Χρήσης'!F25,'Ισολογισμός'!F52)&lt;2,"n.a.",IF(('Ισολογισμός'!F52)&gt;0,('Αποτελέσματα Χρήσης'!F25)/('Ισολογισμός'!F52),"n.a."))</x:f>
        <x:v>n.a.</x:v>
      </x:c>
      <x:c r="G20" s="36" t="str">
        <x:f>IF(COUNT('Αποτελέσματα Χρήσης'!G25,'Ισολογισμός'!G52)&lt;2,"n.a.",IF(('Ισολογισμός'!G52)&gt;0,('Αποτελέσματα Χρήσης'!G25)/('Ισολογισμός'!G52),"n.a."))</x:f>
        <x:v>n.a.</x:v>
      </x:c>
      <x:c r="H20" s="36" t="str">
        <x:f>IF(COUNT('Αποτελέσματα Χρήσης'!H25,'Ισολογισμός'!H52)&lt;2,"n.a.",IF(('Ισολογισμός'!H52)&gt;0,('Αποτελέσματα Χρήσης'!H25)/('Ισολογισμός'!H52),"n.a."))</x:f>
        <x:v>n.a.</x:v>
      </x:c>
      <x:c r="I20" s="36" t="str">
        <x:f>IF(COUNT('Αποτελέσματα Χρήσης'!I25,'Ισολογισμός'!I52)&lt;2,"n.a.",IF(('Ισολογισμός'!I52)&gt;0,('Αποτελέσματα Χρήσης'!I25)/('Ισολογισμός'!I52),"n.a."))</x:f>
        <x:v>n.a.</x:v>
      </x:c>
      <x:c r="J20" s="2"/>
      <x:c r="K20" s="2" t="str">
        <x:v>Ρητά διακριτή εκδοχή προ φόρων του αρχικού αρχείου.</x:v>
      </x:c>
      <x:c r="L20" s="2"/>
      <x:c r="M20" s="2"/>
    </x:row>
    <x:row r="21" ht="23" customHeight="1">
      <x:c r="A21" s="1"/>
      <x:c r="B21" s="1"/>
      <x:c r="C21" s="20" t="str">
        <x:v>ROE μετά φόρων με τελικά ίδια κεφάλαια</x:v>
      </x:c>
      <x:c r="D21" s="21"/>
      <x:c r="E21" s="37" t="str">
        <x:f>IF(COUNT('Αποτελέσματα Χρήσης'!E28,'Ισολογισμός'!E52)&lt;2,"n.a.",IF(('Ισολογισμός'!E52)&gt;0,('Αποτελέσματα Χρήσης'!E28)/('Ισολογισμός'!E52),"n.a."))</x:f>
        <x:v>n.a.</x:v>
      </x:c>
      <x:c r="F21" s="37" t="str">
        <x:f>IF(COUNT('Αποτελέσματα Χρήσης'!F28,'Ισολογισμός'!F52)&lt;2,"n.a.",IF(('Ισολογισμός'!F52)&gt;0,('Αποτελέσματα Χρήσης'!F28)/('Ισολογισμός'!F52),"n.a."))</x:f>
        <x:v>n.a.</x:v>
      </x:c>
      <x:c r="G21" s="37" t="str">
        <x:f>IF(COUNT('Αποτελέσματα Χρήσης'!G28,'Ισολογισμός'!G52)&lt;2,"n.a.",IF(('Ισολογισμός'!G52)&gt;0,('Αποτελέσματα Χρήσης'!G28)/('Ισολογισμός'!G52),"n.a."))</x:f>
        <x:v>n.a.</x:v>
      </x:c>
      <x:c r="H21" s="37" t="str">
        <x:f>IF(COUNT('Αποτελέσματα Χρήσης'!H28,'Ισολογισμός'!H52)&lt;2,"n.a.",IF(('Ισολογισμός'!H52)&gt;0,('Αποτελέσματα Χρήσης'!H28)/('Ισολογισμός'!H52),"n.a."))</x:f>
        <x:v>n.a.</x:v>
      </x:c>
      <x:c r="I21" s="37" t="str">
        <x:f>IF(COUNT('Αποτελέσματα Χρήσης'!I28,'Ισολογισμός'!I52)&lt;2,"n.a.",IF(('Ισολογισμός'!I52)&gt;0,('Αποτελέσματα Χρήσης'!I28)/('Ισολογισμός'!I52),"n.a."))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ROA προ φόρων με τελικό ενεργητικό</x:v>
      </x:c>
      <x:c r="D22" s="21"/>
      <x:c r="E22" s="36" t="str">
        <x:f>IF(COUNT('Αποτελέσματα Χρήσης'!E25,'Ισολογισμός'!E29)&lt;2,"n.a.",IF(('Ισολογισμός'!E29)&gt;0,('Αποτελέσματα Χρήσης'!E25)/('Ισολογισμός'!E29),"n.a."))</x:f>
        <x:v>n.a.</x:v>
      </x:c>
      <x:c r="F22" s="36" t="str">
        <x:f>IF(COUNT('Αποτελέσματα Χρήσης'!F25,'Ισολογισμός'!F29)&lt;2,"n.a.",IF(('Ισολογισμός'!F29)&gt;0,('Αποτελέσματα Χρήσης'!F25)/('Ισολογισμός'!F29),"n.a."))</x:f>
        <x:v>n.a.</x:v>
      </x:c>
      <x:c r="G22" s="36" t="str">
        <x:f>IF(COUNT('Αποτελέσματα Χρήσης'!G25,'Ισολογισμός'!G29)&lt;2,"n.a.",IF(('Ισολογισμός'!G29)&gt;0,('Αποτελέσματα Χρήσης'!G25)/('Ισολογισμός'!G29),"n.a."))</x:f>
        <x:v>n.a.</x:v>
      </x:c>
      <x:c r="H22" s="36" t="str">
        <x:f>IF(COUNT('Αποτελέσματα Χρήσης'!H25,'Ισολογισμός'!H29)&lt;2,"n.a.",IF(('Ισολογισμός'!H29)&gt;0,('Αποτελέσματα Χρήσης'!H25)/('Ισολογισμός'!H29),"n.a."))</x:f>
        <x:v>n.a.</x:v>
      </x:c>
      <x:c r="I22" s="36" t="str">
        <x:f>IF(COUNT('Αποτελέσματα Χρήσης'!I25,'Ισολογισμός'!I29)&lt;2,"n.a.",IF(('Ισολογισμός'!I29)&gt;0,('Αποτελέσματα Χρήσης'!I25)/('Ισολογισμός'!I29),"n.a."))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ROA προ φόρων με μέσο ενεργητικό</x:v>
      </x:c>
      <x:c r="D23" s="21"/>
      <x:c r="E23" s="37" t="str">
        <x:f>IF(COUNT('Αποτελέσματα Χρήσης'!E25,'Υπολογισμοί Κεφαλαίων'!E22)&lt;2,"n.a.",IF(('Υπολογισμοί Κεφαλαίων'!E22)&gt;0,('Αποτελέσματα Χρήσης'!E25)/('Υπολογισμοί Κεφαλαίων'!E22),"n.a."))</x:f>
        <x:v>n.a.</x:v>
      </x:c>
      <x:c r="F23" s="37" t="str">
        <x:f>IF(COUNT('Αποτελέσματα Χρήσης'!F25,'Υπολογισμοί Κεφαλαίων'!F22)&lt;2,"n.a.",IF(('Υπολογισμοί Κεφαλαίων'!F22)&gt;0,('Αποτελέσματα Χρήσης'!F25)/('Υπολογισμοί Κεφαλαίων'!F22),"n.a."))</x:f>
        <x:v>n.a.</x:v>
      </x:c>
      <x:c r="G23" s="37" t="str">
        <x:f>IF(COUNT('Αποτελέσματα Χρήσης'!G25,'Υπολογισμοί Κεφαλαίων'!G22)&lt;2,"n.a.",IF(('Υπολογισμοί Κεφαλαίων'!G22)&gt;0,('Αποτελέσματα Χρήσης'!G25)/('Υπολογισμοί Κεφαλαίων'!G22),"n.a."))</x:f>
        <x:v>n.a.</x:v>
      </x:c>
      <x:c r="H23" s="37" t="str">
        <x:f>IF(COUNT('Αποτελέσματα Χρήσης'!H25,'Υπολογισμοί Κεφαλαίων'!H22)&lt;2,"n.a.",IF(('Υπολογισμοί Κεφαλαίων'!H22)&gt;0,('Αποτελέσματα Χρήσης'!H25)/('Υπολογισμοί Κεφαλαίων'!H22),"n.a."))</x:f>
        <x:v>n.a.</x:v>
      </x:c>
      <x:c r="I23" s="37" t="str">
        <x:f>IF(COUNT('Αποτελέσματα Χρήσης'!I25,'Υπολογισμοί Κεφαλαίων'!I22)&lt;2,"n.a.",IF(('Υπολογισμοί Κεφαλαίων'!I22)&gt;0,('Αποτελέσματα Χρήσης'!I25)/('Υπολογισμοί Κεφαλαίων'!I22),"n.a."))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Αποδοτικότητα μακροπρόθεσμων κεφαλαίων προ φόρων</x:v>
      </x:c>
      <x:c r="D24" s="21"/>
      <x:c r="E24" s="36" t="str">
        <x:f>IF(COUNT('Αποτελέσματα Χρήσης'!E25,'Υπολογισμοί Κεφαλαίων'!E13)&lt;2,"n.a.",IF(('Υπολογισμοί Κεφαλαίων'!E13)&gt;0,('Αποτελέσματα Χρήσης'!E25)/('Υπολογισμοί Κεφαλαίων'!E13),"n.a."))</x:f>
        <x:v>n.a.</x:v>
      </x:c>
      <x:c r="F24" s="36" t="str">
        <x:f>IF(COUNT('Αποτελέσματα Χρήσης'!F25,'Υπολογισμοί Κεφαλαίων'!F13)&lt;2,"n.a.",IF(('Υπολογισμοί Κεφαλαίων'!F13)&gt;0,('Αποτελέσματα Χρήσης'!F25)/('Υπολογισμοί Κεφαλαίων'!F13),"n.a."))</x:f>
        <x:v>n.a.</x:v>
      </x:c>
      <x:c r="G24" s="36" t="str">
        <x:f>IF(COUNT('Αποτελέσματα Χρήσης'!G25,'Υπολογισμοί Κεφαλαίων'!G13)&lt;2,"n.a.",IF(('Υπολογισμοί Κεφαλαίων'!G13)&gt;0,('Αποτελέσματα Χρήσης'!G25)/('Υπολογισμοί Κεφαλαίων'!G13),"n.a."))</x:f>
        <x:v>n.a.</x:v>
      </x:c>
      <x:c r="H24" s="36" t="str">
        <x:f>IF(COUNT('Αποτελέσματα Χρήσης'!H25,'Υπολογισμοί Κεφαλαίων'!H13)&lt;2,"n.a.",IF(('Υπολογισμοί Κεφαλαίων'!H13)&gt;0,('Αποτελέσματα Χρήσης'!H25)/('Υπολογισμοί Κεφαλαίων'!H13),"n.a."))</x:f>
        <x:v>n.a.</x:v>
      </x:c>
      <x:c r="I24" s="36" t="str">
        <x:f>IF(COUNT('Αποτελέσματα Χρήσης'!I25,'Υπολογισμοί Κεφαλαίων'!I13)&lt;2,"n.a.",IF(('Υπολογισμοί Κεφαλαίων'!I13)&gt;0,('Αποτελέσματα Χρήσης'!I25)/('Υπολογισμοί Κεφαλαίων'!I13),"n.a."))</x:f>
        <x:v>n.a.</x:v>
      </x:c>
      <x:c r="J24" s="2"/>
      <x:c r="K24" s="2" t="str">
        <x:v>Απασχολούμενα κεφάλαια = ίδια + μακροπρόθεσμες υποχρεώσεις όταν υπάρχει συμφωνία.</x:v>
      </x:c>
      <x:c r="L24" s="2"/>
      <x:c r="M24" s="2"/>
    </x:row>
    <x:row r="25" ht="23" customHeight="1">
      <x:c r="A25" s="1"/>
      <x:c r="B25" s="1"/>
      <x:c r="C25" s="20" t="str">
        <x:v>ROIC μείον κόστος κεφαλαίου</x:v>
      </x:c>
      <x:c r="D25" s="21"/>
      <x:c r="E25" s="37" t="str">
        <x:f>IF(COUNT('Κερδοφορία'!E18,'Χρηματιστηριακά Δεδομένα'!E18)&lt;2,"n.a.",IF(TRUE,'Κερδοφορία'!E18-'Χρηματιστηριακά Δεδομένα'!E18,"n.a."))</x:f>
        <x:v>n.a.</x:v>
      </x:c>
      <x:c r="F25" s="37" t="str">
        <x:f>IF(COUNT('Κερδοφορία'!F18,'Χρηματιστηριακά Δεδομένα'!F18)&lt;2,"n.a.",IF(TRUE,'Κερδοφορία'!F18-'Χρηματιστηριακά Δεδομένα'!F18,"n.a."))</x:f>
        <x:v>n.a.</x:v>
      </x:c>
      <x:c r="G25" s="37" t="str">
        <x:f>IF(COUNT('Κερδοφορία'!G18,'Χρηματιστηριακά Δεδομένα'!G18)&lt;2,"n.a.",IF(TRUE,'Κερδοφορία'!G18-'Χρηματιστηριακά Δεδομένα'!G18,"n.a."))</x:f>
        <x:v>n.a.</x:v>
      </x:c>
      <x:c r="H25" s="37" t="str">
        <x:f>IF(COUNT('Κερδοφορία'!H18,'Χρηματιστηριακά Δεδομένα'!H18)&lt;2,"n.a.",IF(TRUE,'Κερδοφορία'!H18-'Χρηματιστηριακά Δεδομένα'!H18,"n.a."))</x:f>
        <x:v>n.a.</x:v>
      </x:c>
      <x:c r="I25" s="37" t="str">
        <x:f>IF(COUNT('Κερδοφορία'!I18,'Χρηματιστηριακά Δεδομένα'!I18)&lt;2,"n.a.",IF(TRUE,'Κερδοφορία'!I18-'Χρηματιστηριακά Δεδομένα'!I18,"n.a."))</x:f>
        <x:v>n.a.</x:v>
      </x:c>
      <x:c r="J25" s="2"/>
      <x:c r="K25" s="2" t="str">
        <x:v>Θετική διαφορά δείχνει απόδοση άνω του υποτιθέμενου κόστους.</x:v>
      </x:c>
      <x:c r="L25" s="2"/>
      <x:c r="M25" s="2"/>
    </x:row>
    <x:row r="26" ht="23" customHeight="1">
      <x:c r="A26" s="1"/>
      <x:c r="B26" s="1"/>
      <x:c r="C26" s="2" t="str">
        <x:v>Οικονομικό κέρδος</x:v>
      </x:c>
      <x:c r="D26" s="15"/>
      <x:c r="E26" s="39" t="str">
        <x:f>IF(COUNT('Υπολογισμοί Κεφαλαίων'!E18,'Χρηματιστηριακά Δεδομένα'!E18,'Υπολογισμοί Κεφαλαίων'!E30)&lt;3,"n.a.",IF(TRUE,'Υπολογισμοί Κεφαλαίων'!E18-'Χρηματιστηριακά Δεδομένα'!E18*'Υπολογισμοί Κεφαλαίων'!E30,"n.a."))</x:f>
        <x:v>n.a.</x:v>
      </x:c>
      <x:c r="F26" s="39" t="str">
        <x:f>IF(COUNT('Υπολογισμοί Κεφαλαίων'!F18,'Χρηματιστηριακά Δεδομένα'!F18,'Υπολογισμοί Κεφαλαίων'!F30)&lt;3,"n.a.",IF(TRUE,'Υπολογισμοί Κεφαλαίων'!F18-'Χρηματιστηριακά Δεδομένα'!F18*'Υπολογισμοί Κεφαλαίων'!F30,"n.a."))</x:f>
        <x:v>n.a.</x:v>
      </x:c>
      <x:c r="G26" s="39" t="str">
        <x:f>IF(COUNT('Υπολογισμοί Κεφαλαίων'!G18,'Χρηματιστηριακά Δεδομένα'!G18,'Υπολογισμοί Κεφαλαίων'!G30)&lt;3,"n.a.",IF(TRUE,'Υπολογισμοί Κεφαλαίων'!G18-'Χρηματιστηριακά Δεδομένα'!G18*'Υπολογισμοί Κεφαλαίων'!G30,"n.a."))</x:f>
        <x:v>n.a.</x:v>
      </x:c>
      <x:c r="H26" s="39" t="str">
        <x:f>IF(COUNT('Υπολογισμοί Κεφαλαίων'!H18,'Χρηματιστηριακά Δεδομένα'!H18,'Υπολογισμοί Κεφαλαίων'!H30)&lt;3,"n.a.",IF(TRUE,'Υπολογισμοί Κεφαλαίων'!H18-'Χρηματιστηριακά Δεδομένα'!H18*'Υπολογισμοί Κεφαλαίων'!H30,"n.a."))</x:f>
        <x:v>n.a.</x:v>
      </x:c>
      <x:c r="I26" s="39" t="str">
        <x:f>IF(COUNT('Υπολογισμοί Κεφαλαίων'!I18,'Χρηματιστηριακά Δεδομένα'!I18,'Υπολογισμοί Κεφαλαίων'!I30)&lt;3,"n.a.",IF(TRUE,'Υπολογισμοί Κεφαλαίων'!I18-'Χρηματιστηριακά Δεδομένα'!I18*'Υπολογισμοί Κεφαλαίων'!I30,"n.a."))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Αποδοτικότητα μακροπρόθεσμων / ROE προ φόρων</x:v>
      </x:c>
      <x:c r="D27" s="26"/>
      <x:c r="E27" s="41" t="str">
        <x:f>IF(COUNT('Κερδοφορία'!E24,'Κερδοφορία'!E20)&lt;2,"n.a.",IF('Κερδοφορία'!E20&lt;&gt;0,('Κερδοφορία'!E24)/('Κερδοφορία'!E20),"n.a."))</x:f>
        <x:v>n.a.</x:v>
      </x:c>
      <x:c r="F27" s="41" t="str">
        <x:f>IF(COUNT('Κερδοφορία'!F24,'Κερδοφορία'!F20)&lt;2,"n.a.",IF('Κερδοφορία'!F20&lt;&gt;0,('Κερδοφορία'!F24)/('Κερδοφορία'!F20),"n.a."))</x:f>
        <x:v>n.a.</x:v>
      </x:c>
      <x:c r="G27" s="41" t="str">
        <x:f>IF(COUNT('Κερδοφορία'!G24,'Κερδοφορία'!G20)&lt;2,"n.a.",IF('Κερδοφορία'!G20&lt;&gt;0,('Κερδοφορία'!G24)/('Κερδοφορία'!G20),"n.a."))</x:f>
        <x:v>n.a.</x:v>
      </x:c>
      <x:c r="H27" s="41" t="str">
        <x:f>IF(COUNT('Κερδοφορία'!H24,'Κερδοφορία'!H20)&lt;2,"n.a.",IF('Κερδοφορία'!H20&lt;&gt;0,('Κερδοφορία'!H24)/('Κερδοφορία'!H20),"n.a."))</x:f>
        <x:v>n.a.</x:v>
      </x:c>
      <x:c r="I27" s="41" t="str">
        <x:f>IF(COUNT('Κερδοφορία'!I24,'Κερδοφορία'!I20)&lt;2,"n.a.",IF('Κερδοφορία'!I20&lt;&gt;0,('Κερδοφορία'!I24)/('Κερδοφορία'!I20),"n.a."))</x:f>
        <x:v>n.a.</x:v>
      </x:c>
      <x:c r="J27" s="2"/>
      <x:c r="K27" s="2" t="str">
        <x:v>Εκδοχή του αρχικού αρχείου, χωριστά από τον πολλαπλασιαστή ιδίων.</x:v>
      </x:c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Ρευστότητα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Δυνατότητα κάλυψης βραχυπρόθεσμων υποχρεώσεων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0" t="str">
        <x:v>Γενική ρευστότητα</x:v>
      </x:c>
      <x:c r="D7" s="26"/>
      <x:c r="E7" s="41" t="str">
        <x:f>IF(COUNT('Ισολογισμός'!E17,'Ισολογισμός'!E37)&lt;2,"n.a.",IF(('Ισολογισμός'!E37)&gt;0,('Ισολογισμός'!E17)/('Ισολογισμός'!E37),"n.a."))</x:f>
        <x:v>n.a.</x:v>
      </x:c>
      <x:c r="F7" s="41" t="str">
        <x:f>IF(COUNT('Ισολογισμός'!F17,'Ισολογισμός'!F37)&lt;2,"n.a.",IF(('Ισολογισμός'!F37)&gt;0,('Ισολογισμός'!F17)/('Ισολογισμός'!F37),"n.a."))</x:f>
        <x:v>n.a.</x:v>
      </x:c>
      <x:c r="G7" s="41" t="str">
        <x:f>IF(COUNT('Ισολογισμός'!G17,'Ισολογισμός'!G37)&lt;2,"n.a.",IF(('Ισολογισμός'!G37)&gt;0,('Ισολογισμός'!G17)/('Ισολογισμός'!G37),"n.a."))</x:f>
        <x:v>n.a.</x:v>
      </x:c>
      <x:c r="H7" s="41" t="str">
        <x:f>IF(COUNT('Ισολογισμός'!H17,'Ισολογισμός'!H37)&lt;2,"n.a.",IF(('Ισολογισμός'!H37)&gt;0,('Ισολογισμός'!H17)/('Ισολογισμός'!H37),"n.a."))</x:f>
        <x:v>n.a.</x:v>
      </x:c>
      <x:c r="I7" s="41" t="str">
        <x:f>IF(COUNT('Ισολογισμός'!I17,'Ισολογισμός'!I37)&lt;2,"n.a.",IF(('Ισολογισμός'!I37)&gt;0,('Ισολογισμός'!I17)/('Ισολογισμός'!I37),"n.a."))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0" t="str">
        <x:v>Ειδική ρευστότητα βάσει ρευστών στοιχείων</x:v>
      </x:c>
      <x:c r="D8" s="26"/>
      <x:c r="E8" s="42" t="str">
        <x:f>IF(COUNT('Ισολογισμός'!E8,'Ισολογισμός'!E9,'Ισολογισμός'!E10,'Ισολογισμός'!E37)&lt;4,"n.a.",IF(('Ισολογισμός'!E37)&gt;0,('Ισολογισμός'!E8+'Ισολογισμός'!E9+'Ισολογισμός'!E10)/('Ισολογισμός'!E37),"n.a."))</x:f>
        <x:v>n.a.</x:v>
      </x:c>
      <x:c r="F8" s="42" t="str">
        <x:f>IF(COUNT('Ισολογισμός'!F8,'Ισολογισμός'!F9,'Ισολογισμός'!F10,'Ισολογισμός'!F37)&lt;4,"n.a.",IF(('Ισολογισμός'!F37)&gt;0,('Ισολογισμός'!F8+'Ισολογισμός'!F9+'Ισολογισμός'!F10)/('Ισολογισμός'!F37),"n.a."))</x:f>
        <x:v>n.a.</x:v>
      </x:c>
      <x:c r="G8" s="42" t="str">
        <x:f>IF(COUNT('Ισολογισμός'!G8,'Ισολογισμός'!G9,'Ισολογισμός'!G10,'Ισολογισμός'!G37)&lt;4,"n.a.",IF(('Ισολογισμός'!G37)&gt;0,('Ισολογισμός'!G8+'Ισολογισμός'!G9+'Ισολογισμός'!G10)/('Ισολογισμός'!G37),"n.a."))</x:f>
        <x:v>n.a.</x:v>
      </x:c>
      <x:c r="H8" s="42" t="str">
        <x:f>IF(COUNT('Ισολογισμός'!H8,'Ισολογισμός'!H9,'Ισολογισμός'!H10,'Ισολογισμός'!H37)&lt;4,"n.a.",IF(('Ισολογισμός'!H37)&gt;0,('Ισολογισμός'!H8+'Ισολογισμός'!H9+'Ισολογισμός'!H10)/('Ισολογισμός'!H37),"n.a."))</x:f>
        <x:v>n.a.</x:v>
      </x:c>
      <x:c r="I8" s="42" t="str">
        <x:f>IF(COUNT('Ισολογισμός'!I8,'Ισολογισμός'!I9,'Ισολογισμός'!I10,'Ισολογισμός'!I37)&lt;4,"n.a.",IF(('Ισολογισμός'!I37)&gt;0,('Ισολογισμός'!I8+'Ισολογισμός'!I9+'Ισολογισμός'!I10)/('Ισολογισμός'!I37),"n.a."))</x:f>
        <x:v>n.a.</x:v>
      </x:c>
      <x:c r="J8" s="2"/>
      <x:c r="K8" s="2" t="str">
        <x:v>Διαθέσιμα + ρευστές επενδύσεις + εμπορικές απαιτήσεις, προς βραχυπρόθεσμες υποχρεώσεις.</x:v>
      </x:c>
      <x:c r="L8" s="2"/>
      <x:c r="M8" s="2"/>
    </x:row>
    <x:row r="9" ht="23" customHeight="1">
      <x:c r="A9" s="1"/>
      <x:c r="B9" s="1"/>
      <x:c r="C9" s="20" t="str">
        <x:v>Ειδική ρευστότητα με αφαίρεση αποθεμάτων</x:v>
      </x:c>
      <x:c r="D9" s="26"/>
      <x:c r="E9" s="41" t="str">
        <x:f>IF(COUNT('Ισολογισμός'!E17,'Ισολογισμός'!E11,'Ισολογισμός'!E37)&lt;3,"n.a.",IF(('Ισολογισμός'!E37)&gt;0,('Ισολογισμός'!E17-'Ισολογισμός'!E11)/('Ισολογισμός'!E37),"n.a."))</x:f>
        <x:v>n.a.</x:v>
      </x:c>
      <x:c r="F9" s="41" t="str">
        <x:f>IF(COUNT('Ισολογισμός'!F17,'Ισολογισμός'!F11,'Ισολογισμός'!F37)&lt;3,"n.a.",IF(('Ισολογισμός'!F37)&gt;0,('Ισολογισμός'!F17-'Ισολογισμός'!F11)/('Ισολογισμός'!F37),"n.a."))</x:f>
        <x:v>n.a.</x:v>
      </x:c>
      <x:c r="G9" s="41" t="str">
        <x:f>IF(COUNT('Ισολογισμός'!G17,'Ισολογισμός'!G11,'Ισολογισμός'!G37)&lt;3,"n.a.",IF(('Ισολογισμός'!G37)&gt;0,('Ισολογισμός'!G17-'Ισολογισμός'!G11)/('Ισολογισμός'!G37),"n.a."))</x:f>
        <x:v>n.a.</x:v>
      </x:c>
      <x:c r="H9" s="41" t="str">
        <x:f>IF(COUNT('Ισολογισμός'!H17,'Ισολογισμός'!H11,'Ισολογισμός'!H37)&lt;3,"n.a.",IF(('Ισολογισμός'!H37)&gt;0,('Ισολογισμός'!H17-'Ισολογισμός'!H11)/('Ισολογισμός'!H37),"n.a."))</x:f>
        <x:v>n.a.</x:v>
      </x:c>
      <x:c r="I9" s="41" t="str">
        <x:f>IF(COUNT('Ισολογισμός'!I17,'Ισολογισμός'!I11,'Ισολογισμός'!I37)&lt;3,"n.a.",IF(('Ισολογισμός'!I37)&gt;0,('Ισολογισμός'!I17-'Ισολογισμός'!I11)/('Ισολογισμός'!I37),"n.a."))</x:f>
        <x:v>n.a.</x:v>
      </x:c>
      <x:c r="J9" s="2"/>
      <x:c r="K9" s="2" t="str">
        <x:v>Η εκδοχή του βιβλίου μπορεί να περιλαμβάνει προπληρωμές και λιγότερο ρευστά στοιχεία.</x:v>
      </x:c>
      <x:c r="L9" s="2"/>
      <x:c r="M9" s="2"/>
    </x:row>
    <x:row r="10" ht="23" customHeight="1">
      <x:c r="A10" s="1"/>
      <x:c r="B10" s="1"/>
      <x:c r="C10" s="20" t="str">
        <x:v>Ταμειακή ρευστότητα με ρευστές επενδύσεις</x:v>
      </x:c>
      <x:c r="D10" s="26"/>
      <x:c r="E10" s="42" t="str">
        <x:f>IF(COUNT('Ισολογισμός'!E8,'Ισολογισμός'!E9,'Ισολογισμός'!E37)&lt;3,"n.a.",IF(('Ισολογισμός'!E37)&gt;0,('Ισολογισμός'!E8+'Ισολογισμός'!E9)/('Ισολογισμός'!E37),"n.a."))</x:f>
        <x:v>n.a.</x:v>
      </x:c>
      <x:c r="F10" s="42" t="str">
        <x:f>IF(COUNT('Ισολογισμός'!F8,'Ισολογισμός'!F9,'Ισολογισμός'!F37)&lt;3,"n.a.",IF(('Ισολογισμός'!F37)&gt;0,('Ισολογισμός'!F8+'Ισολογισμός'!F9)/('Ισολογισμός'!F37),"n.a."))</x:f>
        <x:v>n.a.</x:v>
      </x:c>
      <x:c r="G10" s="42" t="str">
        <x:f>IF(COUNT('Ισολογισμός'!G8,'Ισολογισμός'!G9,'Ισολογισμός'!G37)&lt;3,"n.a.",IF(('Ισολογισμός'!G37)&gt;0,('Ισολογισμός'!G8+'Ισολογισμός'!G9)/('Ισολογισμός'!G37),"n.a."))</x:f>
        <x:v>n.a.</x:v>
      </x:c>
      <x:c r="H10" s="42" t="str">
        <x:f>IF(COUNT('Ισολογισμός'!H8,'Ισολογισμός'!H9,'Ισολογισμός'!H37)&lt;3,"n.a.",IF(('Ισολογισμός'!H37)&gt;0,('Ισολογισμός'!H8+'Ισολογισμός'!H9)/('Ισολογισμός'!H37),"n.a."))</x:f>
        <x:v>n.a.</x:v>
      </x:c>
      <x:c r="I10" s="42" t="str">
        <x:f>IF(COUNT('Ισολογισμός'!I8,'Ισολογισμός'!I9,'Ισολογισμός'!I37)&lt;3,"n.a.",IF(('Ισολογισμός'!I37)&gt;0,('Ισολογισμός'!I8+'Ισολογισμός'!I9)/('Ισολογισμός'!I37),"n.a."))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Ταμειακή ρευστότητα μόνο διαθεσίμων</x:v>
      </x:c>
      <x:c r="D11" s="26"/>
      <x:c r="E11" s="41" t="str">
        <x:f>IF(COUNT('Ισολογισμός'!E8,'Ισολογισμός'!E37)&lt;2,"n.a.",IF(('Ισολογισμός'!E37)&gt;0,('Ισολογισμός'!E8)/('Ισολογισμός'!E37),"n.a."))</x:f>
        <x:v>n.a.</x:v>
      </x:c>
      <x:c r="F11" s="41" t="str">
        <x:f>IF(COUNT('Ισολογισμός'!F8,'Ισολογισμός'!F37)&lt;2,"n.a.",IF(('Ισολογισμός'!F37)&gt;0,('Ισολογισμός'!F8)/('Ισολογισμός'!F37),"n.a."))</x:f>
        <x:v>n.a.</x:v>
      </x:c>
      <x:c r="G11" s="41" t="str">
        <x:f>IF(COUNT('Ισολογισμός'!G8,'Ισολογισμός'!G37)&lt;2,"n.a.",IF(('Ισολογισμός'!G37)&gt;0,('Ισολογισμός'!G8)/('Ισολογισμός'!G37),"n.a."))</x:f>
        <x:v>n.a.</x:v>
      </x:c>
      <x:c r="H11" s="41" t="str">
        <x:f>IF(COUNT('Ισολογισμός'!H8,'Ισολογισμός'!H37)&lt;2,"n.a.",IF(('Ισολογισμός'!H37)&gt;0,('Ισολογισμός'!H8)/('Ισολογισμός'!H37),"n.a."))</x:f>
        <x:v>n.a.</x:v>
      </x:c>
      <x:c r="I11" s="41" t="str">
        <x:f>IF(COUNT('Ισολογισμός'!I8,'Ισολογισμός'!I37)&lt;2,"n.a.",IF(('Ισολογισμός'!I37)&gt;0,('Ισολογισμός'!I8)/('Ισολογισμός'!I37),"n.a."))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Διαθέσιμα προς ληξιπρόθεσμες υποχρεώσεις</x:v>
      </x:c>
      <x:c r="D12" s="26"/>
      <x:c r="E12" s="42" t="str">
        <x:f>IF(COUNT('Ισολογισμός'!E8,'Ισολογισμός'!E54)&lt;2,"n.a.",IF(('Ισολογισμός'!E54)&gt;0,('Ισολογισμός'!E8)/('Ισολογισμός'!E54),"n.a."))</x:f>
        <x:v>n.a.</x:v>
      </x:c>
      <x:c r="F12" s="42" t="str">
        <x:f>IF(COUNT('Ισολογισμός'!F8,'Ισολογισμός'!F54)&lt;2,"n.a.",IF(('Ισολογισμός'!F54)&gt;0,('Ισολογισμός'!F8)/('Ισολογισμός'!F54),"n.a."))</x:f>
        <x:v>n.a.</x:v>
      </x:c>
      <x:c r="G12" s="42" t="str">
        <x:f>IF(COUNT('Ισολογισμός'!G8,'Ισολογισμός'!G54)&lt;2,"n.a.",IF(('Ισολογισμός'!G54)&gt;0,('Ισολογισμός'!G8)/('Ισολογισμός'!G54),"n.a."))</x:f>
        <x:v>n.a.</x:v>
      </x:c>
      <x:c r="H12" s="42" t="str">
        <x:f>IF(COUNT('Ισολογισμός'!H8,'Ισολογισμός'!H54)&lt;2,"n.a.",IF(('Ισολογισμός'!H54)&gt;0,('Ισολογισμός'!H8)/('Ισολογισμός'!H54),"n.a."))</x:f>
        <x:v>n.a.</x:v>
      </x:c>
      <x:c r="I12" s="42" t="str">
        <x:f>IF(COUNT('Ισολογισμός'!I8,'Ισολογισμός'!I54)&lt;2,"n.a.",IF(('Ισολογισμός'!I54)&gt;0,('Ισολογισμός'!I8)/('Ισολογισμός'!I54),"n.a."))</x:f>
        <x:v>n.a.</x:v>
      </x:c>
      <x:c r="J12" s="2"/>
      <x:c r="K12" s="2" t="str">
        <x:v>Προαιρετικό, απαιτεί χωριστά ληξιπρόθεσμα ποσά.</x:v>
      </x:c>
      <x:c r="L12" s="2"/>
      <x:c r="M12" s="2"/>
    </x:row>
    <x:row r="13" ht="23" customHeight="1">
      <x:c r="A13" s="1"/>
      <x:c r="B13" s="1"/>
      <x:c r="C13" s="2" t="str">
        <x:v>Κεφάλαιο κίνησης</x:v>
      </x:c>
      <x:c r="D13" s="15"/>
      <x:c r="E13" s="43" t="str">
        <x:f>IF(COUNT('Υπολογισμοί Κεφαλαίων'!E10)&lt;1,"n.a.",IF(TRUE,'Υπολογισμοί Κεφαλαίων'!E10,"n.a."))</x:f>
        <x:v>n.a.</x:v>
      </x:c>
      <x:c r="F13" s="43" t="str">
        <x:f>IF(COUNT('Υπολογισμοί Κεφαλαίων'!F10)&lt;1,"n.a.",IF(TRUE,'Υπολογισμοί Κεφαλαίων'!F10,"n.a."))</x:f>
        <x:v>n.a.</x:v>
      </x:c>
      <x:c r="G13" s="43" t="str">
        <x:f>IF(COUNT('Υπολογισμοί Κεφαλαίων'!G10)&lt;1,"n.a.",IF(TRUE,'Υπολογισμοί Κεφαλαίων'!G10,"n.a."))</x:f>
        <x:v>n.a.</x:v>
      </x:c>
      <x:c r="H13" s="43" t="str">
        <x:f>IF(COUNT('Υπολογισμοί Κεφαλαίων'!H10)&lt;1,"n.a.",IF(TRUE,'Υπολογισμοί Κεφαλαίων'!H10,"n.a."))</x:f>
        <x:v>n.a.</x:v>
      </x:c>
      <x:c r="I13" s="43" t="str">
        <x:f>IF(COUNT('Υπολογισμοί Κεφαλαίων'!I10)&lt;1,"n.a.",IF(TRUE,'Υπολογισμοί Κεφαλαίων'!I10,"n.a."))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Κεφάλαιο κίνησης με μέθοδο μακροπρόθεσμης χρηματοδότησης</x:v>
      </x:c>
      <x:c r="D14" s="15"/>
      <x:c r="E14" s="39" t="str">
        <x:f>IF(COUNT('Ισολογισμός'!E52,'Ισολογισμός'!E44,'Ισολογισμός'!E28)&lt;3,"n.a.",IF(TRUE,'Ισολογισμός'!E52+'Ισολογισμός'!E44-'Ισολογισμός'!E28,"n.a."))</x:f>
        <x:v>n.a.</x:v>
      </x:c>
      <x:c r="F14" s="39" t="str">
        <x:f>IF(COUNT('Ισολογισμός'!F52,'Ισολογισμός'!F44,'Ισολογισμός'!F28)&lt;3,"n.a.",IF(TRUE,'Ισολογισμός'!F52+'Ισολογισμός'!F44-'Ισολογισμός'!F28,"n.a."))</x:f>
        <x:v>n.a.</x:v>
      </x:c>
      <x:c r="G14" s="39" t="str">
        <x:f>IF(COUNT('Ισολογισμός'!G52,'Ισολογισμός'!G44,'Ισολογισμός'!G28)&lt;3,"n.a.",IF(TRUE,'Ισολογισμός'!G52+'Ισολογισμός'!G44-'Ισολογισμός'!G28,"n.a."))</x:f>
        <x:v>n.a.</x:v>
      </x:c>
      <x:c r="H14" s="39" t="str">
        <x:f>IF(COUNT('Ισολογισμός'!H52,'Ισολογισμός'!H44,'Ισολογισμός'!H28)&lt;3,"n.a.",IF(TRUE,'Ισολογισμός'!H52+'Ισολογισμός'!H44-'Ισολογισμός'!H28,"n.a."))</x:f>
        <x:v>n.a.</x:v>
      </x:c>
      <x:c r="I14" s="39" t="str">
        <x:f>IF(COUNT('Ισολογισμός'!I52,'Ισολογισμός'!I44,'Ισολογισμός'!I28)&lt;3,"n.a.",IF(TRUE,'Ισολογισμός'!I52+'Ισολογισμός'!I44-'Ισολογισμός'!I28,"n.a."))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Λειτουργικές ροές προς βραχυπρόθεσμες υποχρεώσεις</x:v>
      </x:c>
      <x:c r="D15" s="26"/>
      <x:c r="E15" s="41" t="str">
        <x:f>IF(COUNT('Κατάσταση Ταμειακών Ροών'!E18,'Ισολογισμός'!E37)&lt;2,"n.a.",IF(('Ισολογισμός'!E37)&gt;0,('Κατάσταση Ταμειακών Ροών'!E18)/('Ισολογισμός'!E37),"n.a."))</x:f>
        <x:v>n.a.</x:v>
      </x:c>
      <x:c r="F15" s="41" t="str">
        <x:f>IF(COUNT('Κατάσταση Ταμειακών Ροών'!F18,'Ισολογισμός'!F37)&lt;2,"n.a.",IF(('Ισολογισμός'!F37)&gt;0,('Κατάσταση Ταμειακών Ροών'!F18)/('Ισολογισμός'!F37),"n.a."))</x:f>
        <x:v>n.a.</x:v>
      </x:c>
      <x:c r="G15" s="41" t="str">
        <x:f>IF(COUNT('Κατάσταση Ταμειακών Ροών'!G18,'Ισολογισμός'!G37)&lt;2,"n.a.",IF(('Ισολογισμός'!G37)&gt;0,('Κατάσταση Ταμειακών Ροών'!G18)/('Ισολογισμός'!G37),"n.a."))</x:f>
        <x:v>n.a.</x:v>
      </x:c>
      <x:c r="H15" s="41" t="str">
        <x:f>IF(COUNT('Κατάσταση Ταμειακών Ροών'!H18,'Ισολογισμός'!H37)&lt;2,"n.a.",IF(('Ισολογισμός'!H37)&gt;0,('Κατάσταση Ταμειακών Ροών'!H18)/('Ισολογισμός'!H37),"n.a."))</x:f>
        <x:v>n.a.</x:v>
      </x:c>
      <x:c r="I15" s="41" t="str">
        <x:f>IF(COUNT('Κατάσταση Ταμειακών Ροών'!I18,'Ισολογισμός'!I37)&lt;2,"n.a.",IF(('Ισολογισμός'!I37)&gt;0,('Κατάσταση Ταμειακών Ροών'!I18)/('Ισολογισμός'!I37),"n.a."))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Αποτελεσματικότητα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Αξιοποίηση ενεργητικού και λειτουργικός κύκλος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0" t="str">
        <x:v>Κυκλοφοριακή ταχύτητα μέσων αποθεμάτων</x:v>
      </x:c>
      <x:c r="D7" s="26"/>
      <x:c r="E7" s="41" t="str">
        <x:f>IF(COUNT('Αποτελέσματα Χρήσης'!E9,'Υπολογισμοί Κεφαλαίων'!E25)&lt;2,"n.a.",IF(('Υπολογισμοί Κεφαλαίων'!E25)&gt;0,('Αποτελέσματα Χρήσης'!E9)/('Υπολογισμοί Κεφαλαίων'!E25),"n.a."))</x:f>
        <x:v>n.a.</x:v>
      </x:c>
      <x:c r="F7" s="41" t="str">
        <x:f>IF(COUNT('Αποτελέσματα Χρήσης'!F9,'Υπολογισμοί Κεφαλαίων'!F25)&lt;2,"n.a.",IF(('Υπολογισμοί Κεφαλαίων'!F25)&gt;0,('Αποτελέσματα Χρήσης'!F9)/('Υπολογισμοί Κεφαλαίων'!F25),"n.a."))</x:f>
        <x:v>n.a.</x:v>
      </x:c>
      <x:c r="G7" s="41" t="str">
        <x:f>IF(COUNT('Αποτελέσματα Χρήσης'!G9,'Υπολογισμοί Κεφαλαίων'!G25)&lt;2,"n.a.",IF(('Υπολογισμοί Κεφαλαίων'!G25)&gt;0,('Αποτελέσματα Χρήσης'!G9)/('Υπολογισμοί Κεφαλαίων'!G25),"n.a."))</x:f>
        <x:v>n.a.</x:v>
      </x:c>
      <x:c r="H7" s="41" t="str">
        <x:f>IF(COUNT('Αποτελέσματα Χρήσης'!H9,'Υπολογισμοί Κεφαλαίων'!H25)&lt;2,"n.a.",IF(('Υπολογισμοί Κεφαλαίων'!H25)&gt;0,('Αποτελέσματα Χρήσης'!H9)/('Υπολογισμοί Κεφαλαίων'!H25),"n.a."))</x:f>
        <x:v>n.a.</x:v>
      </x:c>
      <x:c r="I7" s="41" t="str">
        <x:f>IF(COUNT('Αποτελέσματα Χρήσης'!I9,'Υπολογισμοί Κεφαλαίων'!I25)&lt;2,"n.a.",IF(('Υπολογισμοί Κεφαλαίων'!I25)&gt;0,('Αποτελέσματα Χρήσης'!I9)/('Υπολογισμοί Κεφαλαίων'!I25),"n.a."))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" t="str">
        <x:v>Ημέρες μέσων αποθεμάτων</x:v>
      </x:c>
      <x:c r="D8" s="15"/>
      <x:c r="E8" s="39" t="str">
        <x:f>IF(COUNT('Ρυθμίσεις'!$E$13,'Υπολογισμοί Κεφαλαίων'!E25,'Αποτελέσματα Χρήσης'!E9)&lt;3,"n.a.",IF(('Αποτελέσματα Χρήσης'!E9)&gt;0,('Ρυθμίσεις'!$E$13*'Υπολογισμοί Κεφαλαίων'!E25)/('Αποτελέσματα Χρήσης'!E9),"n.a."))</x:f>
        <x:v>n.a.</x:v>
      </x:c>
      <x:c r="F8" s="39" t="str">
        <x:f>IF(COUNT('Ρυθμίσεις'!$E$13,'Υπολογισμοί Κεφαλαίων'!F25,'Αποτελέσματα Χρήσης'!F9)&lt;3,"n.a.",IF(('Αποτελέσματα Χρήσης'!F9)&gt;0,('Ρυθμίσεις'!$E$13*'Υπολογισμοί Κεφαλαίων'!F25)/('Αποτελέσματα Χρήσης'!F9),"n.a."))</x:f>
        <x:v>n.a.</x:v>
      </x:c>
      <x:c r="G8" s="39" t="str">
        <x:f>IF(COUNT('Ρυθμίσεις'!$E$13,'Υπολογισμοί Κεφαλαίων'!G25,'Αποτελέσματα Χρήσης'!G9)&lt;3,"n.a.",IF(('Αποτελέσματα Χρήσης'!G9)&gt;0,('Ρυθμίσεις'!$E$13*'Υπολογισμοί Κεφαλαίων'!G25)/('Αποτελέσματα Χρήσης'!G9),"n.a."))</x:f>
        <x:v>n.a.</x:v>
      </x:c>
      <x:c r="H8" s="39" t="str">
        <x:f>IF(COUNT('Ρυθμίσεις'!$E$13,'Υπολογισμοί Κεφαλαίων'!H25,'Αποτελέσματα Χρήσης'!H9)&lt;3,"n.a.",IF(('Αποτελέσματα Χρήσης'!H9)&gt;0,('Ρυθμίσεις'!$E$13*'Υπολογισμοί Κεφαλαίων'!H25)/('Αποτελέσματα Χρήσης'!H9),"n.a."))</x:f>
        <x:v>n.a.</x:v>
      </x:c>
      <x:c r="I8" s="39" t="str">
        <x:f>IF(COUNT('Ρυθμίσεις'!$E$13,'Υπολογισμοί Κεφαλαίων'!I25,'Αποτελέσματα Χρήσης'!I9)&lt;3,"n.a.",IF(('Αποτελέσματα Χρήσης'!I9)&gt;0,('Ρυθμίσεις'!$E$13*'Υπολογισμοί Κεφαλαίων'!I25)/('Αποτελέσματα Χρήσης'!I9),"n.a."))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Κυκλοφοριακή ταχύτητα τελικών αποθεμάτων</x:v>
      </x:c>
      <x:c r="D9" s="26"/>
      <x:c r="E9" s="41" t="str">
        <x:f>IF(COUNT('Αποτελέσματα Χρήσης'!E9,'Ισολογισμός'!E11)&lt;2,"n.a.",IF(('Ισολογισμός'!E11)&gt;0,('Αποτελέσματα Χρήσης'!E9)/('Ισολογισμός'!E11),"n.a."))</x:f>
        <x:v>n.a.</x:v>
      </x:c>
      <x:c r="F9" s="41" t="str">
        <x:f>IF(COUNT('Αποτελέσματα Χρήσης'!F9,'Ισολογισμός'!F11)&lt;2,"n.a.",IF(('Ισολογισμός'!F11)&gt;0,('Αποτελέσματα Χρήσης'!F9)/('Ισολογισμός'!F11),"n.a."))</x:f>
        <x:v>n.a.</x:v>
      </x:c>
      <x:c r="G9" s="41" t="str">
        <x:f>IF(COUNT('Αποτελέσματα Χρήσης'!G9,'Ισολογισμός'!G11)&lt;2,"n.a.",IF(('Ισολογισμός'!G11)&gt;0,('Αποτελέσματα Χρήσης'!G9)/('Ισολογισμός'!G11),"n.a."))</x:f>
        <x:v>n.a.</x:v>
      </x:c>
      <x:c r="H9" s="41" t="str">
        <x:f>IF(COUNT('Αποτελέσματα Χρήσης'!H9,'Ισολογισμός'!H11)&lt;2,"n.a.",IF(('Ισολογισμός'!H11)&gt;0,('Αποτελέσματα Χρήσης'!H9)/('Ισολογισμός'!H11),"n.a."))</x:f>
        <x:v>n.a.</x:v>
      </x:c>
      <x:c r="I9" s="41" t="str">
        <x:f>IF(COUNT('Αποτελέσματα Χρήσης'!I9,'Ισολογισμός'!I11)&lt;2,"n.a.",IF(('Ισολογισμός'!I11)&gt;0,('Αποτελέσματα Χρήσης'!I9)/('Ισολογισμός'!I11),"n.a."))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Ημέρες τελικών αποθεμάτων</x:v>
      </x:c>
      <x:c r="D10" s="15"/>
      <x:c r="E10" s="39" t="str">
        <x:f>IF(COUNT('Ρυθμίσεις'!$E$13,'Ισολογισμός'!E11,'Αποτελέσματα Χρήσης'!E9)&lt;3,"n.a.",IF(('Αποτελέσματα Χρήσης'!E9)&gt;0,('Ρυθμίσεις'!$E$13*'Ισολογισμός'!E11)/('Αποτελέσματα Χρήσης'!E9),"n.a."))</x:f>
        <x:v>n.a.</x:v>
      </x:c>
      <x:c r="F10" s="39" t="str">
        <x:f>IF(COUNT('Ρυθμίσεις'!$E$13,'Ισολογισμός'!F11,'Αποτελέσματα Χρήσης'!F9)&lt;3,"n.a.",IF(('Αποτελέσματα Χρήσης'!F9)&gt;0,('Ρυθμίσεις'!$E$13*'Ισολογισμός'!F11)/('Αποτελέσματα Χρήσης'!F9),"n.a."))</x:f>
        <x:v>n.a.</x:v>
      </x:c>
      <x:c r="G10" s="39" t="str">
        <x:f>IF(COUNT('Ρυθμίσεις'!$E$13,'Ισολογισμός'!G11,'Αποτελέσματα Χρήσης'!G9)&lt;3,"n.a.",IF(('Αποτελέσματα Χρήσης'!G9)&gt;0,('Ρυθμίσεις'!$E$13*'Ισολογισμός'!G11)/('Αποτελέσματα Χρήσης'!G9),"n.a."))</x:f>
        <x:v>n.a.</x:v>
      </x:c>
      <x:c r="H10" s="39" t="str">
        <x:f>IF(COUNT('Ρυθμίσεις'!$E$13,'Ισολογισμός'!H11,'Αποτελέσματα Χρήσης'!H9)&lt;3,"n.a.",IF(('Αποτελέσματα Χρήσης'!H9)&gt;0,('Ρυθμίσεις'!$E$13*'Ισολογισμός'!H11)/('Αποτελέσματα Χρήσης'!H9),"n.a."))</x:f>
        <x:v>n.a.</x:v>
      </x:c>
      <x:c r="I10" s="39" t="str">
        <x:f>IF(COUNT('Ρυθμίσεις'!$E$13,'Ισολογισμός'!I11,'Αποτελέσματα Χρήσης'!I9)&lt;3,"n.a.",IF(('Αποτελέσματα Χρήσης'!I9)&gt;0,('Ρυθμίσεις'!$E$13*'Ισολογισμός'!I11)/('Αποτελέσματα Χρήσης'!I9),"n.a."))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Ταχύτητα απαιτήσεων βάσει συνολικών πωλήσεων</x:v>
      </x:c>
      <x:c r="D11" s="26"/>
      <x:c r="E11" s="41" t="str">
        <x:f>IF(COUNT('Αποτελέσματα Χρήσης'!E8,'Υπολογισμοί Κεφαλαίων'!E26)&lt;2,"n.a.",IF(('Υπολογισμοί Κεφαλαίων'!E26)&gt;0,('Αποτελέσματα Χρήσης'!E8)/('Υπολογισμοί Κεφαλαίων'!E26),"n.a."))</x:f>
        <x:v>n.a.</x:v>
      </x:c>
      <x:c r="F11" s="41" t="str">
        <x:f>IF(COUNT('Αποτελέσματα Χρήσης'!F8,'Υπολογισμοί Κεφαλαίων'!F26)&lt;2,"n.a.",IF(('Υπολογισμοί Κεφαλαίων'!F26)&gt;0,('Αποτελέσματα Χρήσης'!F8)/('Υπολογισμοί Κεφαλαίων'!F26),"n.a."))</x:f>
        <x:v>n.a.</x:v>
      </x:c>
      <x:c r="G11" s="41" t="str">
        <x:f>IF(COUNT('Αποτελέσματα Χρήσης'!G8,'Υπολογισμοί Κεφαλαίων'!G26)&lt;2,"n.a.",IF(('Υπολογισμοί Κεφαλαίων'!G26)&gt;0,('Αποτελέσματα Χρήσης'!G8)/('Υπολογισμοί Κεφαλαίων'!G26),"n.a."))</x:f>
        <x:v>n.a.</x:v>
      </x:c>
      <x:c r="H11" s="41" t="str">
        <x:f>IF(COUNT('Αποτελέσματα Χρήσης'!H8,'Υπολογισμοί Κεφαλαίων'!H26)&lt;2,"n.a.",IF(('Υπολογισμοί Κεφαλαίων'!H26)&gt;0,('Αποτελέσματα Χρήσης'!H8)/('Υπολογισμοί Κεφαλαίων'!H26),"n.a."))</x:f>
        <x:v>n.a.</x:v>
      </x:c>
      <x:c r="I11" s="41" t="str">
        <x:f>IF(COUNT('Αποτελέσματα Χρήσης'!I8,'Υπολογισμοί Κεφαλαίων'!I26)&lt;2,"n.a.",IF(('Υπολογισμοί Κεφαλαίων'!I26)&gt;0,('Αποτελέσματα Χρήσης'!I8)/('Υπολογισμοί Κεφαλαίων'!I26),"n.a."))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" t="str">
        <x:v>Ημέρες απαιτήσεων βάσει συνολικών πωλήσεων</x:v>
      </x:c>
      <x:c r="D12" s="15"/>
      <x:c r="E12" s="39" t="str">
        <x:f>IF(COUNT('Ρυθμίσεις'!$E$13,'Υπολογισμοί Κεφαλαίων'!E26,'Αποτελέσματα Χρήσης'!E8)&lt;3,"n.a.",IF(('Αποτελέσματα Χρήσης'!E8)&gt;0,('Ρυθμίσεις'!$E$13*'Υπολογισμοί Κεφαλαίων'!E26)/('Αποτελέσματα Χρήσης'!E8),"n.a."))</x:f>
        <x:v>n.a.</x:v>
      </x:c>
      <x:c r="F12" s="39" t="str">
        <x:f>IF(COUNT('Ρυθμίσεις'!$E$13,'Υπολογισμοί Κεφαλαίων'!F26,'Αποτελέσματα Χρήσης'!F8)&lt;3,"n.a.",IF(('Αποτελέσματα Χρήσης'!F8)&gt;0,('Ρυθμίσεις'!$E$13*'Υπολογισμοί Κεφαλαίων'!F26)/('Αποτελέσματα Χρήσης'!F8),"n.a."))</x:f>
        <x:v>n.a.</x:v>
      </x:c>
      <x:c r="G12" s="39" t="str">
        <x:f>IF(COUNT('Ρυθμίσεις'!$E$13,'Υπολογισμοί Κεφαλαίων'!G26,'Αποτελέσματα Χρήσης'!G8)&lt;3,"n.a.",IF(('Αποτελέσματα Χρήσης'!G8)&gt;0,('Ρυθμίσεις'!$E$13*'Υπολογισμοί Κεφαλαίων'!G26)/('Αποτελέσματα Χρήσης'!G8),"n.a."))</x:f>
        <x:v>n.a.</x:v>
      </x:c>
      <x:c r="H12" s="39" t="str">
        <x:f>IF(COUNT('Ρυθμίσεις'!$E$13,'Υπολογισμοί Κεφαλαίων'!H26,'Αποτελέσματα Χρήσης'!H8)&lt;3,"n.a.",IF(('Αποτελέσματα Χρήσης'!H8)&gt;0,('Ρυθμίσεις'!$E$13*'Υπολογισμοί Κεφαλαίων'!H26)/('Αποτελέσματα Χρήσης'!H8),"n.a."))</x:f>
        <x:v>n.a.</x:v>
      </x:c>
      <x:c r="I12" s="39" t="str">
        <x:f>IF(COUNT('Ρυθμίσεις'!$E$13,'Υπολογισμοί Κεφαλαίων'!I26,'Αποτελέσματα Χρήσης'!I8)&lt;3,"n.a.",IF(('Αποτελέσματα Χρήσης'!I8)&gt;0,('Ρυθμίσεις'!$E$13*'Υπολογισμοί Κεφαλαίων'!I26)/('Αποτελέσματα Χρήσης'!I8),"n.a."))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" t="str">
        <x:v>Ημέρες απαιτήσεων βάσει πωλήσεων επί πιστώσει</x:v>
      </x:c>
      <x:c r="D13" s="15"/>
      <x:c r="E13" s="43" t="str">
        <x:f>IF(COUNT('Ρυθμίσεις'!$E$13,'Υπολογισμοί Κεφαλαίων'!E26,'Αποτελέσματα Χρήσης'!E33)&lt;3,"n.a.",IF(('Αποτελέσματα Χρήσης'!E33)&gt;0,('Ρυθμίσεις'!$E$13*'Υπολογισμοί Κεφαλαίων'!E26)/('Αποτελέσματα Χρήσης'!E33),"n.a."))</x:f>
        <x:v>n.a.</x:v>
      </x:c>
      <x:c r="F13" s="43" t="str">
        <x:f>IF(COUNT('Ρυθμίσεις'!$E$13,'Υπολογισμοί Κεφαλαίων'!F26,'Αποτελέσματα Χρήσης'!F33)&lt;3,"n.a.",IF(('Αποτελέσματα Χρήσης'!F33)&gt;0,('Ρυθμίσεις'!$E$13*'Υπολογισμοί Κεφαλαίων'!F26)/('Αποτελέσματα Χρήσης'!F33),"n.a."))</x:f>
        <x:v>n.a.</x:v>
      </x:c>
      <x:c r="G13" s="43" t="str">
        <x:f>IF(COUNT('Ρυθμίσεις'!$E$13,'Υπολογισμοί Κεφαλαίων'!G26,'Αποτελέσματα Χρήσης'!G33)&lt;3,"n.a.",IF(('Αποτελέσματα Χρήσης'!G33)&gt;0,('Ρυθμίσεις'!$E$13*'Υπολογισμοί Κεφαλαίων'!G26)/('Αποτελέσματα Χρήσης'!G33),"n.a."))</x:f>
        <x:v>n.a.</x:v>
      </x:c>
      <x:c r="H13" s="43" t="str">
        <x:f>IF(COUNT('Ρυθμίσεις'!$E$13,'Υπολογισμοί Κεφαλαίων'!H26,'Αποτελέσματα Χρήσης'!H33)&lt;3,"n.a.",IF(('Αποτελέσματα Χρήσης'!H33)&gt;0,('Ρυθμίσεις'!$E$13*'Υπολογισμοί Κεφαλαίων'!H26)/('Αποτελέσματα Χρήσης'!H33),"n.a."))</x:f>
        <x:v>n.a.</x:v>
      </x:c>
      <x:c r="I13" s="43" t="str">
        <x:f>IF(COUNT('Ρυθμίσεις'!$E$13,'Υπολογισμοί Κεφαλαίων'!I26,'Αποτελέσματα Χρήσης'!I33)&lt;3,"n.a.",IF(('Αποτελέσματα Χρήσης'!I33)&gt;0,('Ρυθμίσεις'!$E$13*'Υπολογισμοί Κεφαλαίων'!I26)/('Αποτελέσματα Χρήσης'!I33),"n.a."))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Ταχύτητα προμηθευτών βάσει αγορών</x:v>
      </x:c>
      <x:c r="D14" s="26"/>
      <x:c r="E14" s="42" t="str">
        <x:f>IF(COUNT('Αποτελέσματα Χρήσης'!E32,'Υπολογισμοί Κεφαλαίων'!E27)&lt;2,"n.a.",IF(('Υπολογισμοί Κεφαλαίων'!E27)&gt;0,('Αποτελέσματα Χρήσης'!E32)/('Υπολογισμοί Κεφαλαίων'!E27),"n.a."))</x:f>
        <x:v>n.a.</x:v>
      </x:c>
      <x:c r="F14" s="42" t="str">
        <x:f>IF(COUNT('Αποτελέσματα Χρήσης'!F32,'Υπολογισμοί Κεφαλαίων'!F27)&lt;2,"n.a.",IF(('Υπολογισμοί Κεφαλαίων'!F27)&gt;0,('Αποτελέσματα Χρήσης'!F32)/('Υπολογισμοί Κεφαλαίων'!F27),"n.a."))</x:f>
        <x:v>n.a.</x:v>
      </x:c>
      <x:c r="G14" s="42" t="str">
        <x:f>IF(COUNT('Αποτελέσματα Χρήσης'!G32,'Υπολογισμοί Κεφαλαίων'!G27)&lt;2,"n.a.",IF(('Υπολογισμοί Κεφαλαίων'!G27)&gt;0,('Αποτελέσματα Χρήσης'!G32)/('Υπολογισμοί Κεφαλαίων'!G27),"n.a."))</x:f>
        <x:v>n.a.</x:v>
      </x:c>
      <x:c r="H14" s="42" t="str">
        <x:f>IF(COUNT('Αποτελέσματα Χρήσης'!H32,'Υπολογισμοί Κεφαλαίων'!H27)&lt;2,"n.a.",IF(('Υπολογισμοί Κεφαλαίων'!H27)&gt;0,('Αποτελέσματα Χρήσης'!H32)/('Υπολογισμοί Κεφαλαίων'!H27),"n.a."))</x:f>
        <x:v>n.a.</x:v>
      </x:c>
      <x:c r="I14" s="42" t="str">
        <x:f>IF(COUNT('Αποτελέσματα Χρήσης'!I32,'Υπολογισμοί Κεφαλαίων'!I27)&lt;2,"n.a.",IF(('Υπολογισμοί Κεφαλαίων'!I27)&gt;0,('Αποτελέσματα Χρήσης'!I32)/('Υπολογισμοί Κεφαλαίων'!I27),"n.a."))</x:f>
        <x:v>n.a.</x:v>
      </x:c>
      <x:c r="J14" s="2"/>
      <x:c r="K14" s="2" t="str">
        <x:v>Αγορές / μέσοι προμηθευτές, όχι όλες οι βραχυπρόθεσμες υποχρεώσεις.</x:v>
      </x:c>
      <x:c r="L14" s="2"/>
      <x:c r="M14" s="2"/>
    </x:row>
    <x:row r="15" ht="23" customHeight="1">
      <x:c r="A15" s="1"/>
      <x:c r="B15" s="1"/>
      <x:c r="C15" s="2" t="str">
        <x:v>Ημέρες προμηθευτών βάσει αγορών</x:v>
      </x:c>
      <x:c r="D15" s="15"/>
      <x:c r="E15" s="43" t="str">
        <x:f>IF(COUNT('Ρυθμίσεις'!$E$13,'Υπολογισμοί Κεφαλαίων'!E27,'Αποτελέσματα Χρήσης'!E32)&lt;3,"n.a.",IF(('Αποτελέσματα Χρήσης'!E32)&gt;0,('Ρυθμίσεις'!$E$13*'Υπολογισμοί Κεφαλαίων'!E27)/('Αποτελέσματα Χρήσης'!E32),"n.a."))</x:f>
        <x:v>n.a.</x:v>
      </x:c>
      <x:c r="F15" s="43" t="str">
        <x:f>IF(COUNT('Ρυθμίσεις'!$E$13,'Υπολογισμοί Κεφαλαίων'!F27,'Αποτελέσματα Χρήσης'!F32)&lt;3,"n.a.",IF(('Αποτελέσματα Χρήσης'!F32)&gt;0,('Ρυθμίσεις'!$E$13*'Υπολογισμοί Κεφαλαίων'!F27)/('Αποτελέσματα Χρήσης'!F32),"n.a."))</x:f>
        <x:v>n.a.</x:v>
      </x:c>
      <x:c r="G15" s="43" t="str">
        <x:f>IF(COUNT('Ρυθμίσεις'!$E$13,'Υπολογισμοί Κεφαλαίων'!G27,'Αποτελέσματα Χρήσης'!G32)&lt;3,"n.a.",IF(('Αποτελέσματα Χρήσης'!G32)&gt;0,('Ρυθμίσεις'!$E$13*'Υπολογισμοί Κεφαλαίων'!G27)/('Αποτελέσματα Χρήσης'!G32),"n.a."))</x:f>
        <x:v>n.a.</x:v>
      </x:c>
      <x:c r="H15" s="43" t="str">
        <x:f>IF(COUNT('Ρυθμίσεις'!$E$13,'Υπολογισμοί Κεφαλαίων'!H27,'Αποτελέσματα Χρήσης'!H32)&lt;3,"n.a.",IF(('Αποτελέσματα Χρήσης'!H32)&gt;0,('Ρυθμίσεις'!$E$13*'Υπολογισμοί Κεφαλαίων'!H27)/('Αποτελέσματα Χρήσης'!H32),"n.a."))</x:f>
        <x:v>n.a.</x:v>
      </x:c>
      <x:c r="I15" s="43" t="str">
        <x:f>IF(COUNT('Ρυθμίσεις'!$E$13,'Υπολογισμοί Κεφαλαίων'!I27,'Αποτελέσματα Χρήσης'!I32)&lt;3,"n.a.",IF(('Αποτελέσματα Χρήσης'!I32)&gt;0,('Ρυθμίσεις'!$E$13*'Υπολογισμοί Κεφαλαίων'!I27)/('Αποτελέσματα Χρήσης'!I32),"n.a."))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 t="str">
        <x:v>Ημέρες προμηθευτών με προσέγγιση κόστους πωληθέντων</x:v>
      </x:c>
      <x:c r="D16" s="15"/>
      <x:c r="E16" s="39" t="str">
        <x:f>IF(COUNT('Ρυθμίσεις'!$E$13,'Υπολογισμοί Κεφαλαίων'!E27,'Αποτελέσματα Χρήσης'!E9)&lt;3,"n.a.",IF(('Αποτελέσματα Χρήσης'!E9)&gt;0,('Ρυθμίσεις'!$E$13*'Υπολογισμοί Κεφαλαίων'!E27)/('Αποτελέσματα Χρήσης'!E9),"n.a."))</x:f>
        <x:v>n.a.</x:v>
      </x:c>
      <x:c r="F16" s="39" t="str">
        <x:f>IF(COUNT('Ρυθμίσεις'!$E$13,'Υπολογισμοί Κεφαλαίων'!F27,'Αποτελέσματα Χρήσης'!F9)&lt;3,"n.a.",IF(('Αποτελέσματα Χρήσης'!F9)&gt;0,('Ρυθμίσεις'!$E$13*'Υπολογισμοί Κεφαλαίων'!F27)/('Αποτελέσματα Χρήσης'!F9),"n.a."))</x:f>
        <x:v>n.a.</x:v>
      </x:c>
      <x:c r="G16" s="39" t="str">
        <x:f>IF(COUNT('Ρυθμίσεις'!$E$13,'Υπολογισμοί Κεφαλαίων'!G27,'Αποτελέσματα Χρήσης'!G9)&lt;3,"n.a.",IF(('Αποτελέσματα Χρήσης'!G9)&gt;0,('Ρυθμίσεις'!$E$13*'Υπολογισμοί Κεφαλαίων'!G27)/('Αποτελέσματα Χρήσης'!G9),"n.a."))</x:f>
        <x:v>n.a.</x:v>
      </x:c>
      <x:c r="H16" s="39" t="str">
        <x:f>IF(COUNT('Ρυθμίσεις'!$E$13,'Υπολογισμοί Κεφαλαίων'!H27,'Αποτελέσματα Χρήσης'!H9)&lt;3,"n.a.",IF(('Αποτελέσματα Χρήσης'!H9)&gt;0,('Ρυθμίσεις'!$E$13*'Υπολογισμοί Κεφαλαίων'!H27)/('Αποτελέσματα Χρήσης'!H9),"n.a."))</x:f>
        <x:v>n.a.</x:v>
      </x:c>
      <x:c r="I16" s="39" t="str">
        <x:f>IF(COUNT('Ρυθμίσεις'!$E$13,'Υπολογισμοί Κεφαλαίων'!I27,'Αποτελέσματα Χρήσης'!I9)&lt;3,"n.a.",IF(('Αποτελέσματα Χρήσης'!I9)&gt;0,('Ρυθμίσεις'!$E$13*'Υπολογισμοί Κεφαλαίων'!I27)/('Αποτελέσματα Χρήσης'!I9),"n.a."))</x:f>
        <x:v>n.a.</x:v>
      </x:c>
      <x:c r="J16" s="2"/>
      <x:c r="K16" s="2" t="str">
        <x:v>Ρητή προσέγγιση όταν λείπουν οι αγορές, χωρίς αυτόματη υποκατάσταση.</x:v>
      </x:c>
      <x:c r="L16" s="2"/>
      <x:c r="M16" s="2"/>
    </x:row>
    <x:row r="17" ht="23" customHeight="1">
      <x:c r="A17" s="1"/>
      <x:c r="B17" s="1"/>
      <x:c r="C17" s="2" t="str">
        <x:v>Λειτουργικός κύκλος σε ημέρες</x:v>
      </x:c>
      <x:c r="D17" s="15"/>
      <x:c r="E17" s="43" t="str">
        <x:f>IF(COUNT('Αποτελεσματικότητα'!E8,'Αποτελεσματικότητα'!E12)&lt;2,"n.a.",IF(TRUE,'Αποτελεσματικότητα'!E8+'Αποτελεσματικότητα'!E12,"n.a."))</x:f>
        <x:v>n.a.</x:v>
      </x:c>
      <x:c r="F17" s="43" t="str">
        <x:f>IF(COUNT('Αποτελεσματικότητα'!F8,'Αποτελεσματικότητα'!F12)&lt;2,"n.a.",IF(TRUE,'Αποτελεσματικότητα'!F8+'Αποτελεσματικότητα'!F12,"n.a."))</x:f>
        <x:v>n.a.</x:v>
      </x:c>
      <x:c r="G17" s="43" t="str">
        <x:f>IF(COUNT('Αποτελεσματικότητα'!G8,'Αποτελεσματικότητα'!G12)&lt;2,"n.a.",IF(TRUE,'Αποτελεσματικότητα'!G8+'Αποτελεσματικότητα'!G12,"n.a."))</x:f>
        <x:v>n.a.</x:v>
      </x:c>
      <x:c r="H17" s="43" t="str">
        <x:f>IF(COUNT('Αποτελεσματικότητα'!H8,'Αποτελεσματικότητα'!H12)&lt;2,"n.a.",IF(TRUE,'Αποτελεσματικότητα'!H8+'Αποτελεσματικότητα'!H12,"n.a."))</x:f>
        <x:v>n.a.</x:v>
      </x:c>
      <x:c r="I17" s="43" t="str">
        <x:f>IF(COUNT('Αποτελεσματικότητα'!I8,'Αποτελεσματικότητα'!I12)&lt;2,"n.a.",IF(TRUE,'Αποτελεσματικότητα'!I8+'Αποτελεσματικότητα'!I12,"n.a."))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Ταμειακός κύκλος βάσει αγορών</x:v>
      </x:c>
      <x:c r="D18" s="15"/>
      <x:c r="E18" s="39" t="str">
        <x:f>IF(COUNT('Αποτελεσματικότητα'!E8,'Αποτελεσματικότητα'!E12,'Αποτελεσματικότητα'!E15)&lt;3,"n.a.",IF(TRUE,'Αποτελεσματικότητα'!E8+'Αποτελεσματικότητα'!E12-'Αποτελεσματικότητα'!E15,"n.a."))</x:f>
        <x:v>n.a.</x:v>
      </x:c>
      <x:c r="F18" s="39" t="str">
        <x:f>IF(COUNT('Αποτελεσματικότητα'!F8,'Αποτελεσματικότητα'!F12,'Αποτελεσματικότητα'!F15)&lt;3,"n.a.",IF(TRUE,'Αποτελεσματικότητα'!F8+'Αποτελεσματικότητα'!F12-'Αποτελεσματικότητα'!F15,"n.a."))</x:f>
        <x:v>n.a.</x:v>
      </x:c>
      <x:c r="G18" s="39" t="str">
        <x:f>IF(COUNT('Αποτελεσματικότητα'!G8,'Αποτελεσματικότητα'!G12,'Αποτελεσματικότητα'!G15)&lt;3,"n.a.",IF(TRUE,'Αποτελεσματικότητα'!G8+'Αποτελεσματικότητα'!G12-'Αποτελεσματικότητα'!G15,"n.a."))</x:f>
        <x:v>n.a.</x:v>
      </x:c>
      <x:c r="H18" s="39" t="str">
        <x:f>IF(COUNT('Αποτελεσματικότητα'!H8,'Αποτελεσματικότητα'!H12,'Αποτελεσματικότητα'!H15)&lt;3,"n.a.",IF(TRUE,'Αποτελεσματικότητα'!H8+'Αποτελεσματικότητα'!H12-'Αποτελεσματικότητα'!H15,"n.a."))</x:f>
        <x:v>n.a.</x:v>
      </x:c>
      <x:c r="I18" s="39" t="str">
        <x:f>IF(COUNT('Αποτελεσματικότητα'!I8,'Αποτελεσματικότητα'!I12,'Αποτελεσματικότητα'!I15)&lt;3,"n.a.",IF(TRUE,'Αποτελεσματικότητα'!I8+'Αποτελεσματικότητα'!I12-'Αποτελεσματικότητα'!I15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" t="str">
        <x:v>Ταμειακός κύκλος με προσέγγιση κόστους πωληθέντων</x:v>
      </x:c>
      <x:c r="D19" s="15"/>
      <x:c r="E19" s="43" t="str">
        <x:f>IF(COUNT('Αποτελεσματικότητα'!E8,'Αποτελεσματικότητα'!E12,'Αποτελεσματικότητα'!E16)&lt;3,"n.a.",IF(TRUE,'Αποτελεσματικότητα'!E8+'Αποτελεσματικότητα'!E12-'Αποτελεσματικότητα'!E16,"n.a."))</x:f>
        <x:v>n.a.</x:v>
      </x:c>
      <x:c r="F19" s="43" t="str">
        <x:f>IF(COUNT('Αποτελεσματικότητα'!F8,'Αποτελεσματικότητα'!F12,'Αποτελεσματικότητα'!F16)&lt;3,"n.a.",IF(TRUE,'Αποτελεσματικότητα'!F8+'Αποτελεσματικότητα'!F12-'Αποτελεσματικότητα'!F16,"n.a."))</x:f>
        <x:v>n.a.</x:v>
      </x:c>
      <x:c r="G19" s="43" t="str">
        <x:f>IF(COUNT('Αποτελεσματικότητα'!G8,'Αποτελεσματικότητα'!G12,'Αποτελεσματικότητα'!G16)&lt;3,"n.a.",IF(TRUE,'Αποτελεσματικότητα'!G8+'Αποτελεσματικότητα'!G12-'Αποτελεσματικότητα'!G16,"n.a."))</x:f>
        <x:v>n.a.</x:v>
      </x:c>
      <x:c r="H19" s="43" t="str">
        <x:f>IF(COUNT('Αποτελεσματικότητα'!H8,'Αποτελεσματικότητα'!H12,'Αποτελεσματικότητα'!H16)&lt;3,"n.a.",IF(TRUE,'Αποτελεσματικότητα'!H8+'Αποτελεσματικότητα'!H12-'Αποτελεσματικότητα'!H16,"n.a."))</x:f>
        <x:v>n.a.</x:v>
      </x:c>
      <x:c r="I19" s="43" t="str">
        <x:f>IF(COUNT('Αποτελεσματικότητα'!I8,'Αποτελεσματικότητα'!I12,'Αποτελεσματικότητα'!I16)&lt;3,"n.a.",IF(TRUE,'Αποτελεσματικότητα'!I8+'Αποτελεσματικότητα'!I12-'Αποτελεσματικότητα'!I16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Ταχύτητα μέσου συνολικού ενεργητικού</x:v>
      </x:c>
      <x:c r="D20" s="26"/>
      <x:c r="E20" s="42" t="str">
        <x:f>IF(COUNT('Αποτελέσματα Χρήσης'!E8,'Υπολογισμοί Κεφαλαίων'!E22)&lt;2,"n.a.",IF(('Υπολογισμοί Κεφαλαίων'!E22)&gt;0,('Αποτελέσματα Χρήσης'!E8)/('Υπολογισμοί Κεφαλαίων'!E22),"n.a."))</x:f>
        <x:v>n.a.</x:v>
      </x:c>
      <x:c r="F20" s="42" t="str">
        <x:f>IF(COUNT('Αποτελέσματα Χρήσης'!F8,'Υπολογισμοί Κεφαλαίων'!F22)&lt;2,"n.a.",IF(('Υπολογισμοί Κεφαλαίων'!F22)&gt;0,('Αποτελέσματα Χρήσης'!F8)/('Υπολογισμοί Κεφαλαίων'!F22),"n.a."))</x:f>
        <x:v>n.a.</x:v>
      </x:c>
      <x:c r="G20" s="42" t="str">
        <x:f>IF(COUNT('Αποτελέσματα Χρήσης'!G8,'Υπολογισμοί Κεφαλαίων'!G22)&lt;2,"n.a.",IF(('Υπολογισμοί Κεφαλαίων'!G22)&gt;0,('Αποτελέσματα Χρήσης'!G8)/('Υπολογισμοί Κεφαλαίων'!G22),"n.a."))</x:f>
        <x:v>n.a.</x:v>
      </x:c>
      <x:c r="H20" s="42" t="str">
        <x:f>IF(COUNT('Αποτελέσματα Χρήσης'!H8,'Υπολογισμοί Κεφαλαίων'!H22)&lt;2,"n.a.",IF(('Υπολογισμοί Κεφαλαίων'!H22)&gt;0,('Αποτελέσματα Χρήσης'!H8)/('Υπολογισμοί Κεφαλαίων'!H22),"n.a."))</x:f>
        <x:v>n.a.</x:v>
      </x:c>
      <x:c r="I20" s="42" t="str">
        <x:f>IF(COUNT('Αποτελέσματα Χρήσης'!I8,'Υπολογισμοί Κεφαλαίων'!I22)&lt;2,"n.a.",IF(('Υπολογισμοί Κεφαλαίων'!I22)&gt;0,('Αποτελέσματα Χρήσης'!I8)/('Υπολογισμοί Κεφαλαίων'!I22),"n.a."))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Ταχύτητα τελικού συνολικού ενεργητικού</x:v>
      </x:c>
      <x:c r="D21" s="26"/>
      <x:c r="E21" s="41" t="str">
        <x:f>IF(COUNT('Αποτελέσματα Χρήσης'!E8,'Ισολογισμός'!E29)&lt;2,"n.a.",IF(('Ισολογισμός'!E29)&gt;0,('Αποτελέσματα Χρήσης'!E8)/('Ισολογισμός'!E29),"n.a."))</x:f>
        <x:v>n.a.</x:v>
      </x:c>
      <x:c r="F21" s="41" t="str">
        <x:f>IF(COUNT('Αποτελέσματα Χρήσης'!F8,'Ισολογισμός'!F29)&lt;2,"n.a.",IF(('Ισολογισμός'!F29)&gt;0,('Αποτελέσματα Χρήσης'!F8)/('Ισολογισμός'!F29),"n.a."))</x:f>
        <x:v>n.a.</x:v>
      </x:c>
      <x:c r="G21" s="41" t="str">
        <x:f>IF(COUNT('Αποτελέσματα Χρήσης'!G8,'Ισολογισμός'!G29)&lt;2,"n.a.",IF(('Ισολογισμός'!G29)&gt;0,('Αποτελέσματα Χρήσης'!G8)/('Ισολογισμός'!G29),"n.a."))</x:f>
        <x:v>n.a.</x:v>
      </x:c>
      <x:c r="H21" s="41" t="str">
        <x:f>IF(COUNT('Αποτελέσματα Χρήσης'!H8,'Ισολογισμός'!H29)&lt;2,"n.a.",IF(('Ισολογισμός'!H29)&gt;0,('Αποτελέσματα Χρήσης'!H8)/('Ισολογισμός'!H29),"n.a."))</x:f>
        <x:v>n.a.</x:v>
      </x:c>
      <x:c r="I21" s="41" t="str">
        <x:f>IF(COUNT('Αποτελέσματα Χρήσης'!I8,'Ισολογισμός'!I29)&lt;2,"n.a.",IF(('Ισολογισμός'!I29)&gt;0,('Αποτελέσματα Χρήσης'!I8)/('Ισολογισμός'!I29),"n.a."))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Ταχύτητα μέσων καθαρών ενσώματων παγίων</x:v>
      </x:c>
      <x:c r="D22" s="26"/>
      <x:c r="E22" s="42" t="str">
        <x:f>IF(COUNT('Αποτελέσματα Χρήσης'!E8,'Υπολογισμοί Κεφαλαίων'!E28)&lt;2,"n.a.",IF(('Υπολογισμοί Κεφαλαίων'!E28)&gt;0,('Αποτελέσματα Χρήσης'!E8)/('Υπολογισμοί Κεφαλαίων'!E28),"n.a."))</x:f>
        <x:v>n.a.</x:v>
      </x:c>
      <x:c r="F22" s="42" t="str">
        <x:f>IF(COUNT('Αποτελέσματα Χρήσης'!F8,'Υπολογισμοί Κεφαλαίων'!F28)&lt;2,"n.a.",IF(('Υπολογισμοί Κεφαλαίων'!F28)&gt;0,('Αποτελέσματα Χρήσης'!F8)/('Υπολογισμοί Κεφαλαίων'!F28),"n.a."))</x:f>
        <x:v>n.a.</x:v>
      </x:c>
      <x:c r="G22" s="42" t="str">
        <x:f>IF(COUNT('Αποτελέσματα Χρήσης'!G8,'Υπολογισμοί Κεφαλαίων'!G28)&lt;2,"n.a.",IF(('Υπολογισμοί Κεφαλαίων'!G28)&gt;0,('Αποτελέσματα Χρήσης'!G8)/('Υπολογισμοί Κεφαλαίων'!G28),"n.a."))</x:f>
        <x:v>n.a.</x:v>
      </x:c>
      <x:c r="H22" s="42" t="str">
        <x:f>IF(COUNT('Αποτελέσματα Χρήσης'!H8,'Υπολογισμοί Κεφαλαίων'!H28)&lt;2,"n.a.",IF(('Υπολογισμοί Κεφαλαίων'!H28)&gt;0,('Αποτελέσματα Χρήσης'!H8)/('Υπολογισμοί Κεφαλαίων'!H28),"n.a."))</x:f>
        <x:v>n.a.</x:v>
      </x:c>
      <x:c r="I22" s="42" t="str">
        <x:f>IF(COUNT('Αποτελέσματα Χρήσης'!I8,'Υπολογισμοί Κεφαλαίων'!I28)&lt;2,"n.a.",IF(('Υπολογισμοί Κεφαλαίων'!I28)&gt;0,('Αποτελέσματα Χρήσης'!I8)/('Υπολογισμοί Κεφαλαίων'!I28),"n.a."))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Ταχύτητα μέσου κεφαλαίου κίνησης</x:v>
      </x:c>
      <x:c r="D23" s="26"/>
      <x:c r="E23" s="41" t="str">
        <x:f>IF(COUNT('Αποτελέσματα Χρήσης'!E8,'Υπολογισμοί Κεφαλαίων'!E29)&lt;2,"n.a.",IF(('Υπολογισμοί Κεφαλαίων'!E29)&gt;0,('Αποτελέσματα Χρήσης'!E8)/('Υπολογισμοί Κεφαλαίων'!E29),"n.a."))</x:f>
        <x:v>n.a.</x:v>
      </x:c>
      <x:c r="F23" s="41" t="str">
        <x:f>IF(COUNT('Αποτελέσματα Χρήσης'!F8,'Υπολογισμοί Κεφαλαίων'!F29)&lt;2,"n.a.",IF(('Υπολογισμοί Κεφαλαίων'!F29)&gt;0,('Αποτελέσματα Χρήσης'!F8)/('Υπολογισμοί Κεφαλαίων'!F29),"n.a."))</x:f>
        <x:v>n.a.</x:v>
      </x:c>
      <x:c r="G23" s="41" t="str">
        <x:f>IF(COUNT('Αποτελέσματα Χρήσης'!G8,'Υπολογισμοί Κεφαλαίων'!G29)&lt;2,"n.a.",IF(('Υπολογισμοί Κεφαλαίων'!G29)&gt;0,('Αποτελέσματα Χρήσης'!G8)/('Υπολογισμοί Κεφαλαίων'!G29),"n.a."))</x:f>
        <x:v>n.a.</x:v>
      </x:c>
      <x:c r="H23" s="41" t="str">
        <x:f>IF(COUNT('Αποτελέσματα Χρήσης'!H8,'Υπολογισμοί Κεφαλαίων'!H29)&lt;2,"n.a.",IF(('Υπολογισμοί Κεφαλαίων'!H29)&gt;0,('Αποτελέσματα Χρήσης'!H8)/('Υπολογισμοί Κεφαλαίων'!H29),"n.a."))</x:f>
        <x:v>n.a.</x:v>
      </x:c>
      <x:c r="I23" s="41" t="str">
        <x:f>IF(COUNT('Αποτελέσματα Χρήσης'!I8,'Υπολογισμοί Κεφαλαίων'!I29)&lt;2,"n.a.",IF(('Υπολογισμοί Κεφαλαίων'!I29)&gt;0,('Αποτελέσματα Χρήσης'!I8)/('Υπολογισμοί Κεφαλαίων'!I29),"n.a."))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Χρέος και Φερεγγυότητα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Δανεισμός, κεφαλαιακή διάρθρωση και κάλυψη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0" t="str">
        <x:v>Τοκοφόρο χρέος προς ίδια κεφάλαια</x:v>
      </x:c>
      <x:c r="D7" s="26"/>
      <x:c r="E7" s="41" t="str">
        <x:f>IF(COUNT('Υπολογισμοί Κεφαλαίων'!E8,'Ισολογισμός'!E52)&lt;2,"n.a.",IF(('Ισολογισμός'!E52)&gt;0,('Υπολογισμοί Κεφαλαίων'!E8)/('Ισολογισμός'!E52),"n.a."))</x:f>
        <x:v>n.a.</x:v>
      </x:c>
      <x:c r="F7" s="41" t="str">
        <x:f>IF(COUNT('Υπολογισμοί Κεφαλαίων'!F8,'Ισολογισμός'!F52)&lt;2,"n.a.",IF(('Ισολογισμός'!F52)&gt;0,('Υπολογισμοί Κεφαλαίων'!F8)/('Ισολογισμός'!F52),"n.a."))</x:f>
        <x:v>n.a.</x:v>
      </x:c>
      <x:c r="G7" s="41" t="str">
        <x:f>IF(COUNT('Υπολογισμοί Κεφαλαίων'!G8,'Ισολογισμός'!G52)&lt;2,"n.a.",IF(('Ισολογισμός'!G52)&gt;0,('Υπολογισμοί Κεφαλαίων'!G8)/('Ισολογισμός'!G52),"n.a."))</x:f>
        <x:v>n.a.</x:v>
      </x:c>
      <x:c r="H7" s="41" t="str">
        <x:f>IF(COUNT('Υπολογισμοί Κεφαλαίων'!H8,'Ισολογισμός'!H52)&lt;2,"n.a.",IF(('Ισολογισμός'!H52)&gt;0,('Υπολογισμοί Κεφαλαίων'!H8)/('Ισολογισμός'!H52),"n.a."))</x:f>
        <x:v>n.a.</x:v>
      </x:c>
      <x:c r="I7" s="41" t="str">
        <x:f>IF(COUNT('Υπολογισμοί Κεφαλαίων'!I8,'Ισολογισμός'!I52)&lt;2,"n.a.",IF(('Ισολογισμός'!I52)&gt;0,('Υπολογισμοί Κεφαλαίων'!I8)/('Ισολογισμός'!I52),"n.a."))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0" t="str">
        <x:v>Καθαρό χρέος προς ίδια κεφάλαια</x:v>
      </x:c>
      <x:c r="D8" s="26"/>
      <x:c r="E8" s="42" t="str">
        <x:f>IF(COUNT('Υπολογισμοί Κεφαλαίων'!E9,'Ισολογισμός'!E52)&lt;2,"n.a.",IF(('Ισολογισμός'!E52)&gt;0,('Υπολογισμοί Κεφαλαίων'!E9)/('Ισολογισμός'!E52),"n.a."))</x:f>
        <x:v>n.a.</x:v>
      </x:c>
      <x:c r="F8" s="42" t="str">
        <x:f>IF(COUNT('Υπολογισμοί Κεφαλαίων'!F9,'Ισολογισμός'!F52)&lt;2,"n.a.",IF(('Ισολογισμός'!F52)&gt;0,('Υπολογισμοί Κεφαλαίων'!F9)/('Ισολογισμός'!F52),"n.a."))</x:f>
        <x:v>n.a.</x:v>
      </x:c>
      <x:c r="G8" s="42" t="str">
        <x:f>IF(COUNT('Υπολογισμοί Κεφαλαίων'!G9,'Ισολογισμός'!G52)&lt;2,"n.a.",IF(('Ισολογισμός'!G52)&gt;0,('Υπολογισμοί Κεφαλαίων'!G9)/('Ισολογισμός'!G52),"n.a."))</x:f>
        <x:v>n.a.</x:v>
      </x:c>
      <x:c r="H8" s="42" t="str">
        <x:f>IF(COUNT('Υπολογισμοί Κεφαλαίων'!H9,'Ισολογισμός'!H52)&lt;2,"n.a.",IF(('Ισολογισμός'!H52)&gt;0,('Υπολογισμοί Κεφαλαίων'!H9)/('Ισολογισμός'!H52),"n.a."))</x:f>
        <x:v>n.a.</x:v>
      </x:c>
      <x:c r="I8" s="42" t="str">
        <x:f>IF(COUNT('Υπολογισμοί Κεφαλαίων'!I9,'Ισολογισμός'!I52)&lt;2,"n.a.",IF(('Ισολογισμός'!I52)&gt;0,('Υπολογισμοί Κεφαλαίων'!I9)/('Ισολογισμός'!I52),"n.a."))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Τοκοφόρο χρέος προς ενεργητικό</x:v>
      </x:c>
      <x:c r="D9" s="21"/>
      <x:c r="E9" s="37" t="str">
        <x:f>IF(COUNT('Υπολογισμοί Κεφαλαίων'!E8,'Ισολογισμός'!E29)&lt;2,"n.a.",IF(('Ισολογισμός'!E29)&gt;0,('Υπολογισμοί Κεφαλαίων'!E8)/('Ισολογισμός'!E29),"n.a."))</x:f>
        <x:v>n.a.</x:v>
      </x:c>
      <x:c r="F9" s="37" t="str">
        <x:f>IF(COUNT('Υπολογισμοί Κεφαλαίων'!F8,'Ισολογισμός'!F29)&lt;2,"n.a.",IF(('Ισολογισμός'!F29)&gt;0,('Υπολογισμοί Κεφαλαίων'!F8)/('Ισολογισμός'!F29),"n.a."))</x:f>
        <x:v>n.a.</x:v>
      </x:c>
      <x:c r="G9" s="37" t="str">
        <x:f>IF(COUNT('Υπολογισμοί Κεφαλαίων'!G8,'Ισολογισμός'!G29)&lt;2,"n.a.",IF(('Ισολογισμός'!G29)&gt;0,('Υπολογισμοί Κεφαλαίων'!G8)/('Ισολογισμός'!G29),"n.a."))</x:f>
        <x:v>n.a.</x:v>
      </x:c>
      <x:c r="H9" s="37" t="str">
        <x:f>IF(COUNT('Υπολογισμοί Κεφαλαίων'!H8,'Ισολογισμός'!H29)&lt;2,"n.a.",IF(('Ισολογισμός'!H29)&gt;0,('Υπολογισμοί Κεφαλαίων'!H8)/('Ισολογισμός'!H29),"n.a."))</x:f>
        <x:v>n.a.</x:v>
      </x:c>
      <x:c r="I9" s="37" t="str">
        <x:f>IF(COUNT('Υπολογισμοί Κεφαλαίων'!I8,'Ισολογισμός'!I29)&lt;2,"n.a.",IF(('Ισολογισμός'!I29)&gt;0,('Υπολογισμοί Κεφαλαίων'!I8)/('Ισολογισμός'!I29),"n.a."))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Συνολικές υποχρεώσεις προς ίδια κεφάλαια</x:v>
      </x:c>
      <x:c r="D10" s="26"/>
      <x:c r="E10" s="42" t="str">
        <x:f>IF(COUNT('Ισολογισμός'!E45,'Ισολογισμός'!E52)&lt;2,"n.a.",IF(('Ισολογισμός'!E52)&gt;0,('Ισολογισμός'!E45)/('Ισολογισμός'!E52),"n.a."))</x:f>
        <x:v>n.a.</x:v>
      </x:c>
      <x:c r="F10" s="42" t="str">
        <x:f>IF(COUNT('Ισολογισμός'!F45,'Ισολογισμός'!F52)&lt;2,"n.a.",IF(('Ισολογισμός'!F52)&gt;0,('Ισολογισμός'!F45)/('Ισολογισμός'!F52),"n.a."))</x:f>
        <x:v>n.a.</x:v>
      </x:c>
      <x:c r="G10" s="42" t="str">
        <x:f>IF(COUNT('Ισολογισμός'!G45,'Ισολογισμός'!G52)&lt;2,"n.a.",IF(('Ισολογισμός'!G52)&gt;0,('Ισολογισμός'!G45)/('Ισολογισμός'!G52),"n.a."))</x:f>
        <x:v>n.a.</x:v>
      </x:c>
      <x:c r="H10" s="42" t="str">
        <x:f>IF(COUNT('Ισολογισμός'!H45,'Ισολογισμός'!H52)&lt;2,"n.a.",IF(('Ισολογισμός'!H52)&gt;0,('Ισολογισμός'!H45)/('Ισολογισμός'!H52),"n.a."))</x:f>
        <x:v>n.a.</x:v>
      </x:c>
      <x:c r="I10" s="42" t="str">
        <x:f>IF(COUNT('Ισολογισμός'!I45,'Ισολογισμός'!I52)&lt;2,"n.a.",IF(('Ισολογισμός'!I52)&gt;0,('Ισολογισμός'!I45)/('Ισολογισμός'!I52),"n.a."))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Συνολικές υποχρεώσεις προς ενεργητικό</x:v>
      </x:c>
      <x:c r="D11" s="21"/>
      <x:c r="E11" s="37" t="str">
        <x:f>IF(COUNT('Ισολογισμός'!E45,'Ισολογισμός'!E29)&lt;2,"n.a.",IF(('Ισολογισμός'!E29)&gt;0,('Ισολογισμός'!E45)/('Ισολογισμός'!E29),"n.a."))</x:f>
        <x:v>n.a.</x:v>
      </x:c>
      <x:c r="F11" s="37" t="str">
        <x:f>IF(COUNT('Ισολογισμός'!F45,'Ισολογισμός'!F29)&lt;2,"n.a.",IF(('Ισολογισμός'!F29)&gt;0,('Ισολογισμός'!F45)/('Ισολογισμός'!F29),"n.a."))</x:f>
        <x:v>n.a.</x:v>
      </x:c>
      <x:c r="G11" s="37" t="str">
        <x:f>IF(COUNT('Ισολογισμός'!G45,'Ισολογισμός'!G29)&lt;2,"n.a.",IF(('Ισολογισμός'!G29)&gt;0,('Ισολογισμός'!G45)/('Ισολογισμός'!G29),"n.a."))</x:f>
        <x:v>n.a.</x:v>
      </x:c>
      <x:c r="H11" s="37" t="str">
        <x:f>IF(COUNT('Ισολογισμός'!H45,'Ισολογισμός'!H29)&lt;2,"n.a.",IF(('Ισολογισμός'!H29)&gt;0,('Ισολογισμός'!H45)/('Ισολογισμός'!H29),"n.a."))</x:f>
        <x:v>n.a.</x:v>
      </x:c>
      <x:c r="I11" s="37" t="str">
        <x:f>IF(COUNT('Ισολογισμός'!I45,'Ισολογισμός'!I29)&lt;2,"n.a.",IF(('Ισολογισμός'!I29)&gt;0,('Ισολογισμός'!I45)/('Ισολογισμός'!I29),"n.a."))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Μακροπρόθεσμες υποχρεώσεις προς ίδια κεφάλαια</x:v>
      </x:c>
      <x:c r="D12" s="26"/>
      <x:c r="E12" s="42" t="str">
        <x:f>IF(COUNT('Ισολογισμός'!E44,'Ισολογισμός'!E52)&lt;2,"n.a.",IF(('Ισολογισμός'!E52)&gt;0,('Ισολογισμός'!E44)/('Ισολογισμός'!E52),"n.a."))</x:f>
        <x:v>n.a.</x:v>
      </x:c>
      <x:c r="F12" s="42" t="str">
        <x:f>IF(COUNT('Ισολογισμός'!F44,'Ισολογισμός'!F52)&lt;2,"n.a.",IF(('Ισολογισμός'!F52)&gt;0,('Ισολογισμός'!F44)/('Ισολογισμός'!F52),"n.a."))</x:f>
        <x:v>n.a.</x:v>
      </x:c>
      <x:c r="G12" s="42" t="str">
        <x:f>IF(COUNT('Ισολογισμός'!G44,'Ισολογισμός'!G52)&lt;2,"n.a.",IF(('Ισολογισμός'!G52)&gt;0,('Ισολογισμός'!G44)/('Ισολογισμός'!G52),"n.a."))</x:f>
        <x:v>n.a.</x:v>
      </x:c>
      <x:c r="H12" s="42" t="str">
        <x:f>IF(COUNT('Ισολογισμός'!H44,'Ισολογισμός'!H52)&lt;2,"n.a.",IF(('Ισολογισμός'!H52)&gt;0,('Ισολογισμός'!H44)/('Ισολογισμός'!H52),"n.a."))</x:f>
        <x:v>n.a.</x:v>
      </x:c>
      <x:c r="I12" s="42" t="str">
        <x:f>IF(COUNT('Ισολογισμός'!I44,'Ισολογισμός'!I52)&lt;2,"n.a.",IF(('Ισολογισμός'!I52)&gt;0,('Ισολογισμός'!I44)/('Ισολογισμός'!I52),"n.a."))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Ίδια κεφάλαια προς συνολικές υποχρεώσεις</x:v>
      </x:c>
      <x:c r="D13" s="26"/>
      <x:c r="E13" s="41" t="str">
        <x:f>IF(COUNT('Ισολογισμός'!E52,'Ισολογισμός'!E45)&lt;2,"n.a.",IF(('Ισολογισμός'!E45)&gt;0,('Ισολογισμός'!E52)/('Ισολογισμός'!E45),"n.a."))</x:f>
        <x:v>n.a.</x:v>
      </x:c>
      <x:c r="F13" s="41" t="str">
        <x:f>IF(COUNT('Ισολογισμός'!F52,'Ισολογισμός'!F45)&lt;2,"n.a.",IF(('Ισολογισμός'!F45)&gt;0,('Ισολογισμός'!F52)/('Ισολογισμός'!F45),"n.a."))</x:f>
        <x:v>n.a.</x:v>
      </x:c>
      <x:c r="G13" s="41" t="str">
        <x:f>IF(COUNT('Ισολογισμός'!G52,'Ισολογισμός'!G45)&lt;2,"n.a.",IF(('Ισολογισμός'!G45)&gt;0,('Ισολογισμός'!G52)/('Ισολογισμός'!G45),"n.a."))</x:f>
        <x:v>n.a.</x:v>
      </x:c>
      <x:c r="H13" s="41" t="str">
        <x:f>IF(COUNT('Ισολογισμός'!H52,'Ισολογισμός'!H45)&lt;2,"n.a.",IF(('Ισολογισμός'!H45)&gt;0,('Ισολογισμός'!H52)/('Ισολογισμός'!H45),"n.a."))</x:f>
        <x:v>n.a.</x:v>
      </x:c>
      <x:c r="I13" s="41" t="str">
        <x:f>IF(COUNT('Ισολογισμός'!I52,'Ισολογισμός'!I45)&lt;2,"n.a.",IF(('Ισολογισμός'!I45)&gt;0,('Ισολογισμός'!I52)/('Ισολογισμός'!I45),"n.a."))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Ίδια κεφάλαια προς ενεργητικό</x:v>
      </x:c>
      <x:c r="D14" s="21"/>
      <x:c r="E14" s="36" t="str">
        <x:f>IF(COUNT('Ισολογισμός'!E52,'Ισολογισμός'!E29)&lt;2,"n.a.",IF(('Ισολογισμός'!E29)&gt;0,('Ισολογισμός'!E52)/('Ισολογισμός'!E29),"n.a."))</x:f>
        <x:v>n.a.</x:v>
      </x:c>
      <x:c r="F14" s="36" t="str">
        <x:f>IF(COUNT('Ισολογισμός'!F52,'Ισολογισμός'!F29)&lt;2,"n.a.",IF(('Ισολογισμός'!F29)&gt;0,('Ισολογισμός'!F52)/('Ισολογισμός'!F29),"n.a."))</x:f>
        <x:v>n.a.</x:v>
      </x:c>
      <x:c r="G14" s="36" t="str">
        <x:f>IF(COUNT('Ισολογισμός'!G52,'Ισολογισμός'!G29)&lt;2,"n.a.",IF(('Ισολογισμός'!G29)&gt;0,('Ισολογισμός'!G52)/('Ισολογισμός'!G29),"n.a."))</x:f>
        <x:v>n.a.</x:v>
      </x:c>
      <x:c r="H14" s="36" t="str">
        <x:f>IF(COUNT('Ισολογισμός'!H52,'Ισολογισμός'!H29)&lt;2,"n.a.",IF(('Ισολογισμός'!H29)&gt;0,('Ισολογισμός'!H52)/('Ισολογισμός'!H29),"n.a."))</x:f>
        <x:v>n.a.</x:v>
      </x:c>
      <x:c r="I14" s="36" t="str">
        <x:f>IF(COUNT('Ισολογισμός'!I52,'Ισολογισμός'!I29)&lt;2,"n.a.",IF(('Ισολογισμός'!I29)&gt;0,('Ισολογισμός'!I52)/('Ισολογισμός'!I29),"n.a."))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Μη κυκλοφορούν ενεργητικό προς ίδια κεφάλαια</x:v>
      </x:c>
      <x:c r="D15" s="26"/>
      <x:c r="E15" s="41" t="str">
        <x:f>IF(COUNT('Ισολογισμός'!E28,'Ισολογισμός'!E52)&lt;2,"n.a.",IF(('Ισολογισμός'!E52)&gt;0,('Ισολογισμός'!E28)/('Ισολογισμός'!E52),"n.a."))</x:f>
        <x:v>n.a.</x:v>
      </x:c>
      <x:c r="F15" s="41" t="str">
        <x:f>IF(COUNT('Ισολογισμός'!F28,'Ισολογισμός'!F52)&lt;2,"n.a.",IF(('Ισολογισμός'!F52)&gt;0,('Ισολογισμός'!F28)/('Ισολογισμός'!F52),"n.a."))</x:f>
        <x:v>n.a.</x:v>
      </x:c>
      <x:c r="G15" s="41" t="str">
        <x:f>IF(COUNT('Ισολογισμός'!G28,'Ισολογισμός'!G52)&lt;2,"n.a.",IF(('Ισολογισμός'!G52)&gt;0,('Ισολογισμός'!G28)/('Ισολογισμός'!G52),"n.a."))</x:f>
        <x:v>n.a.</x:v>
      </x:c>
      <x:c r="H15" s="41" t="str">
        <x:f>IF(COUNT('Ισολογισμός'!H28,'Ισολογισμός'!H52)&lt;2,"n.a.",IF(('Ισολογισμός'!H52)&gt;0,('Ισολογισμός'!H28)/('Ισολογισμός'!H52),"n.a."))</x:f>
        <x:v>n.a.</x:v>
      </x:c>
      <x:c r="I15" s="41" t="str">
        <x:f>IF(COUNT('Ισολογισμός'!I28,'Ισολογισμός'!I52)&lt;2,"n.a.",IF(('Ισολογισμός'!I52)&gt;0,('Ισολογισμός'!I28)/('Ισολογισμός'!I52),"n.a."))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Ίδια κεφάλαια προς μη κυκλοφορούν ενεργητικό</x:v>
      </x:c>
      <x:c r="D16" s="26"/>
      <x:c r="E16" s="42" t="str">
        <x:f>IF(COUNT('Ισολογισμός'!E52,'Ισολογισμός'!E28)&lt;2,"n.a.",IF(('Ισολογισμός'!E28)&gt;0,('Ισολογισμός'!E52)/('Ισολογισμός'!E28),"n.a."))</x:f>
        <x:v>n.a.</x:v>
      </x:c>
      <x:c r="F16" s="42" t="str">
        <x:f>IF(COUNT('Ισολογισμός'!F52,'Ισολογισμός'!F28)&lt;2,"n.a.",IF(('Ισολογισμός'!F28)&gt;0,('Ισολογισμός'!F52)/('Ισολογισμός'!F28),"n.a."))</x:f>
        <x:v>n.a.</x:v>
      </x:c>
      <x:c r="G16" s="42" t="str">
        <x:f>IF(COUNT('Ισολογισμός'!G52,'Ισολογισμός'!G28)&lt;2,"n.a.",IF(('Ισολογισμός'!G28)&gt;0,('Ισολογισμός'!G52)/('Ισολογισμός'!G28),"n.a."))</x:f>
        <x:v>n.a.</x:v>
      </x:c>
      <x:c r="H16" s="42" t="str">
        <x:f>IF(COUNT('Ισολογισμός'!H52,'Ισολογισμός'!H28)&lt;2,"n.a.",IF(('Ισολογισμός'!H28)&gt;0,('Ισολογισμός'!H52)/('Ισολογισμός'!H28),"n.a."))</x:f>
        <x:v>n.a.</x:v>
      </x:c>
      <x:c r="I16" s="42" t="str">
        <x:f>IF(COUNT('Ισολογισμός'!I52,'Ισολογισμός'!I28)&lt;2,"n.a.",IF(('Ισολογισμός'!I28)&gt;0,('Ισολογισμός'!I52)/('Ισολογισμός'!I28),"n.a."))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Μη κυκλοφορούν ενεργητικό προς μακροπρόθεσμες υποχρεώσεις</x:v>
      </x:c>
      <x:c r="D17" s="26"/>
      <x:c r="E17" s="41" t="str">
        <x:f>IF(COUNT('Ισολογισμός'!E28,'Ισολογισμός'!E44)&lt;2,"n.a.",IF(('Ισολογισμός'!E44)&gt;0,('Ισολογισμός'!E28)/('Ισολογισμός'!E44),"n.a."))</x:f>
        <x:v>n.a.</x:v>
      </x:c>
      <x:c r="F17" s="41" t="str">
        <x:f>IF(COUNT('Ισολογισμός'!F28,'Ισολογισμός'!F44)&lt;2,"n.a.",IF(('Ισολογισμός'!F44)&gt;0,('Ισολογισμός'!F28)/('Ισολογισμός'!F44),"n.a."))</x:f>
        <x:v>n.a.</x:v>
      </x:c>
      <x:c r="G17" s="41" t="str">
        <x:f>IF(COUNT('Ισολογισμός'!G28,'Ισολογισμός'!G44)&lt;2,"n.a.",IF(('Ισολογισμός'!G44)&gt;0,('Ισολογισμός'!G28)/('Ισολογισμός'!G44),"n.a."))</x:f>
        <x:v>n.a.</x:v>
      </x:c>
      <x:c r="H17" s="41" t="str">
        <x:f>IF(COUNT('Ισολογισμός'!H28,'Ισολογισμός'!H44)&lt;2,"n.a.",IF(('Ισολογισμός'!H44)&gt;0,('Ισολογισμός'!H28)/('Ισολογισμός'!H44),"n.a."))</x:f>
        <x:v>n.a.</x:v>
      </x:c>
      <x:c r="I17" s="41" t="str">
        <x:f>IF(COUNT('Ισολογισμός'!I28,'Ισολογισμός'!I44)&lt;2,"n.a.",IF(('Ισολογισμός'!I44)&gt;0,('Ισολογισμός'!I28)/('Ισολογισμός'!I44),"n.a."))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0" t="str">
        <x:v>Βαθμός παγιοποίησης περιουσίας</x:v>
      </x:c>
      <x:c r="D18" s="21"/>
      <x:c r="E18" s="36" t="str">
        <x:f>IF(COUNT('Ισολογισμός'!E28,'Ισολογισμός'!E29)&lt;2,"n.a.",IF(('Ισολογισμός'!E29)&gt;0,('Ισολογισμός'!E28)/('Ισολογισμός'!E29),"n.a."))</x:f>
        <x:v>n.a.</x:v>
      </x:c>
      <x:c r="F18" s="36" t="str">
        <x:f>IF(COUNT('Ισολογισμός'!F28,'Ισολογισμός'!F29)&lt;2,"n.a.",IF(('Ισολογισμός'!F29)&gt;0,('Ισολογισμός'!F28)/('Ισολογισμός'!F29),"n.a."))</x:f>
        <x:v>n.a.</x:v>
      </x:c>
      <x:c r="G18" s="36" t="str">
        <x:f>IF(COUNT('Ισολογισμός'!G28,'Ισολογισμός'!G29)&lt;2,"n.a.",IF(('Ισολογισμός'!G29)&gt;0,('Ισολογισμός'!G28)/('Ισολογισμός'!G29),"n.a."))</x:f>
        <x:v>n.a.</x:v>
      </x:c>
      <x:c r="H18" s="36" t="str">
        <x:f>IF(COUNT('Ισολογισμός'!H28,'Ισολογισμός'!H29)&lt;2,"n.a.",IF(('Ισολογισμός'!H29)&gt;0,('Ισολογισμός'!H28)/('Ισολογισμός'!H29),"n.a."))</x:f>
        <x:v>n.a.</x:v>
      </x:c>
      <x:c r="I18" s="36" t="str">
        <x:f>IF(COUNT('Ισολογισμός'!I28,'Ισολογισμός'!I29)&lt;2,"n.a.",IF(('Ισολογισμός'!I29)&gt;0,('Ισολογισμός'!I28)/('Ισολογισμός'!I29),"n.a."))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Βραχυπρόθεσμες προς συνολικές υποχρεώσεις</x:v>
      </x:c>
      <x:c r="D19" s="21"/>
      <x:c r="E19" s="37" t="str">
        <x:f>IF(COUNT('Ισολογισμός'!E37,'Ισολογισμός'!E45)&lt;2,"n.a.",IF(('Ισολογισμός'!E45)&gt;0,('Ισολογισμός'!E37)/('Ισολογισμός'!E45),"n.a."))</x:f>
        <x:v>n.a.</x:v>
      </x:c>
      <x:c r="F19" s="37" t="str">
        <x:f>IF(COUNT('Ισολογισμός'!F37,'Ισολογισμός'!F45)&lt;2,"n.a.",IF(('Ισολογισμός'!F45)&gt;0,('Ισολογισμός'!F37)/('Ισολογισμός'!F45),"n.a."))</x:f>
        <x:v>n.a.</x:v>
      </x:c>
      <x:c r="G19" s="37" t="str">
        <x:f>IF(COUNT('Ισολογισμός'!G37,'Ισολογισμός'!G45)&lt;2,"n.a.",IF(('Ισολογισμός'!G45)&gt;0,('Ισολογισμός'!G37)/('Ισολογισμός'!G45),"n.a."))</x:f>
        <x:v>n.a.</x:v>
      </x:c>
      <x:c r="H19" s="37" t="str">
        <x:f>IF(COUNT('Ισολογισμός'!H37,'Ισολογισμός'!H45)&lt;2,"n.a.",IF(('Ισολογισμός'!H45)&gt;0,('Ισολογισμός'!H37)/('Ισολογισμός'!H45),"n.a."))</x:f>
        <x:v>n.a.</x:v>
      </x:c>
      <x:c r="I19" s="37" t="str">
        <x:f>IF(COUNT('Ισολογισμός'!I37,'Ισολογισμός'!I45)&lt;2,"n.a.",IF(('Ισολογισμός'!I45)&gt;0,('Ισολογισμός'!I37)/('Ισολογισμός'!I45),"n.a."))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Πολλαπλασιαστής ιδίων κεφαλαίων με μέσους όρους</x:v>
      </x:c>
      <x:c r="D20" s="26"/>
      <x:c r="E20" s="42" t="str">
        <x:f>IF(COUNT('Υπολογισμοί Κεφαλαίων'!E22,'Υπολογισμοί Κεφαλαίων'!E23)&lt;2,"n.a.",IF(('Υπολογισμοί Κεφαλαίων'!E23)&gt;0,('Υπολογισμοί Κεφαλαίων'!E22)/('Υπολογισμοί Κεφαλαίων'!E23),"n.a."))</x:f>
        <x:v>n.a.</x:v>
      </x:c>
      <x:c r="F20" s="42" t="str">
        <x:f>IF(COUNT('Υπολογισμοί Κεφαλαίων'!F22,'Υπολογισμοί Κεφαλαίων'!F23)&lt;2,"n.a.",IF(('Υπολογισμοί Κεφαλαίων'!F23)&gt;0,('Υπολογισμοί Κεφαλαίων'!F22)/('Υπολογισμοί Κεφαλαίων'!F23),"n.a."))</x:f>
        <x:v>n.a.</x:v>
      </x:c>
      <x:c r="G20" s="42" t="str">
        <x:f>IF(COUNT('Υπολογισμοί Κεφαλαίων'!G22,'Υπολογισμοί Κεφαλαίων'!G23)&lt;2,"n.a.",IF(('Υπολογισμοί Κεφαλαίων'!G23)&gt;0,('Υπολογισμοί Κεφαλαίων'!G22)/('Υπολογισμοί Κεφαλαίων'!G23),"n.a."))</x:f>
        <x:v>n.a.</x:v>
      </x:c>
      <x:c r="H20" s="42" t="str">
        <x:f>IF(COUNT('Υπολογισμοί Κεφαλαίων'!H22,'Υπολογισμοί Κεφαλαίων'!H23)&lt;2,"n.a.",IF(('Υπολογισμοί Κεφαλαίων'!H23)&gt;0,('Υπολογισμοί Κεφαλαίων'!H22)/('Υπολογισμοί Κεφαλαίων'!H23),"n.a."))</x:f>
        <x:v>n.a.</x:v>
      </x:c>
      <x:c r="I20" s="42" t="str">
        <x:f>IF(COUNT('Υπολογισμοί Κεφαλαίων'!I22,'Υπολογισμοί Κεφαλαίων'!I23)&lt;2,"n.a.",IF(('Υπολογισμοί Κεφαλαίων'!I23)&gt;0,('Υπολογισμοί Κεφαλαίων'!I22)/('Υπολογισμοί Κεφαλαίων'!I23),"n.a."))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Κάλυψη τόκων από EBIT</x:v>
      </x:c>
      <x:c r="D21" s="26"/>
      <x:c r="E21" s="41" t="str">
        <x:f>IF(COUNT('Αποτελέσματα Χρήσης'!E16,'Αποτελέσματα Χρήσης'!E22)&lt;2,"n.a.",IF(('Αποτελέσματα Χρήσης'!E22)&gt;0,('Αποτελέσματα Χρήσης'!E16)/('Αποτελέσματα Χρήσης'!E22),"n.a."))</x:f>
        <x:v>n.a.</x:v>
      </x:c>
      <x:c r="F21" s="41" t="str">
        <x:f>IF(COUNT('Αποτελέσματα Χρήσης'!F16,'Αποτελέσματα Χρήσης'!F22)&lt;2,"n.a.",IF(('Αποτελέσματα Χρήσης'!F22)&gt;0,('Αποτελέσματα Χρήσης'!F16)/('Αποτελέσματα Χρήσης'!F22),"n.a."))</x:f>
        <x:v>n.a.</x:v>
      </x:c>
      <x:c r="G21" s="41" t="str">
        <x:f>IF(COUNT('Αποτελέσματα Χρήσης'!G16,'Αποτελέσματα Χρήσης'!G22)&lt;2,"n.a.",IF(('Αποτελέσματα Χρήσης'!G22)&gt;0,('Αποτελέσματα Χρήσης'!G16)/('Αποτελέσματα Χρήσης'!G22),"n.a."))</x:f>
        <x:v>n.a.</x:v>
      </x:c>
      <x:c r="H21" s="41" t="str">
        <x:f>IF(COUNT('Αποτελέσματα Χρήσης'!H16,'Αποτελέσματα Χρήσης'!H22)&lt;2,"n.a.",IF(('Αποτελέσματα Χρήσης'!H22)&gt;0,('Αποτελέσματα Χρήσης'!H16)/('Αποτελέσματα Χρήσης'!H22),"n.a."))</x:f>
        <x:v>n.a.</x:v>
      </x:c>
      <x:c r="I21" s="41" t="str">
        <x:f>IF(COUNT('Αποτελέσματα Χρήσης'!I16,'Αποτελέσματα Χρήσης'!I22)&lt;2,"n.a.",IF(('Αποτελέσματα Χρήσης'!I22)&gt;0,('Αποτελέσματα Χρήσης'!I16)/('Αποτελέσματα Χρήσης'!I22),"n.a."))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Κάλυψη τόκων από EBITDA</x:v>
      </x:c>
      <x:c r="D22" s="26"/>
      <x:c r="E22" s="42" t="str">
        <x:f>IF(COUNT('Υπολογισμοί Κεφαλαίων'!E16,'Αποτελέσματα Χρήσης'!E22)&lt;2,"n.a.",IF(('Αποτελέσματα Χρήσης'!E22)&gt;0,('Υπολογισμοί Κεφαλαίων'!E16)/('Αποτελέσματα Χρήσης'!E22),"n.a."))</x:f>
        <x:v>n.a.</x:v>
      </x:c>
      <x:c r="F22" s="42" t="str">
        <x:f>IF(COUNT('Υπολογισμοί Κεφαλαίων'!F16,'Αποτελέσματα Χρήσης'!F22)&lt;2,"n.a.",IF(('Αποτελέσματα Χρήσης'!F22)&gt;0,('Υπολογισμοί Κεφαλαίων'!F16)/('Αποτελέσματα Χρήσης'!F22),"n.a."))</x:f>
        <x:v>n.a.</x:v>
      </x:c>
      <x:c r="G22" s="42" t="str">
        <x:f>IF(COUNT('Υπολογισμοί Κεφαλαίων'!G16,'Αποτελέσματα Χρήσης'!G22)&lt;2,"n.a.",IF(('Αποτελέσματα Χρήσης'!G22)&gt;0,('Υπολογισμοί Κεφαλαίων'!G16)/('Αποτελέσματα Χρήσης'!G22),"n.a."))</x:f>
        <x:v>n.a.</x:v>
      </x:c>
      <x:c r="H22" s="42" t="str">
        <x:f>IF(COUNT('Υπολογισμοί Κεφαλαίων'!H16,'Αποτελέσματα Χρήσης'!H22)&lt;2,"n.a.",IF(('Αποτελέσματα Χρήσης'!H22)&gt;0,('Υπολογισμοί Κεφαλαίων'!H16)/('Αποτελέσματα Χρήσης'!H22),"n.a."))</x:f>
        <x:v>n.a.</x:v>
      </x:c>
      <x:c r="I22" s="42" t="str">
        <x:f>IF(COUNT('Υπολογισμοί Κεφαλαίων'!I16,'Αποτελέσματα Χρήσης'!I22)&lt;2,"n.a.",IF(('Αποτελέσματα Χρήσης'!I22)&gt;0,('Υπολογισμοί Κεφαλαίων'!I16)/('Αποτελέσματα Χρήσης'!I22),"n.a."))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Καθαρό χρέος προς EBITDA</x:v>
      </x:c>
      <x:c r="D23" s="26"/>
      <x:c r="E23" s="41" t="str">
        <x:f>IF(COUNT('Υπολογισμοί Κεφαλαίων'!E9,'Υπολογισμοί Κεφαλαίων'!E16)&lt;2,"n.a.",IF(('Υπολογισμοί Κεφαλαίων'!E16)&gt;0,('Υπολογισμοί Κεφαλαίων'!E9)/('Υπολογισμοί Κεφαλαίων'!E16),"n.a."))</x:f>
        <x:v>n.a.</x:v>
      </x:c>
      <x:c r="F23" s="41" t="str">
        <x:f>IF(COUNT('Υπολογισμοί Κεφαλαίων'!F9,'Υπολογισμοί Κεφαλαίων'!F16)&lt;2,"n.a.",IF(('Υπολογισμοί Κεφαλαίων'!F16)&gt;0,('Υπολογισμοί Κεφαλαίων'!F9)/('Υπολογισμοί Κεφαλαίων'!F16),"n.a."))</x:f>
        <x:v>n.a.</x:v>
      </x:c>
      <x:c r="G23" s="41" t="str">
        <x:f>IF(COUNT('Υπολογισμοί Κεφαλαίων'!G9,'Υπολογισμοί Κεφαλαίων'!G16)&lt;2,"n.a.",IF(('Υπολογισμοί Κεφαλαίων'!G16)&gt;0,('Υπολογισμοί Κεφαλαίων'!G9)/('Υπολογισμοί Κεφαλαίων'!G16),"n.a."))</x:f>
        <x:v>n.a.</x:v>
      </x:c>
      <x:c r="H23" s="41" t="str">
        <x:f>IF(COUNT('Υπολογισμοί Κεφαλαίων'!H9,'Υπολογισμοί Κεφαλαίων'!H16)&lt;2,"n.a.",IF(('Υπολογισμοί Κεφαλαίων'!H16)&gt;0,('Υπολογισμοί Κεφαλαίων'!H9)/('Υπολογισμοί Κεφαλαίων'!H16),"n.a."))</x:f>
        <x:v>n.a.</x:v>
      </x:c>
      <x:c r="I23" s="41" t="str">
        <x:f>IF(COUNT('Υπολογισμοί Κεφαλαίων'!I9,'Υπολογισμοί Κεφαλαίων'!I16)&lt;2,"n.a.",IF(('Υπολογισμοί Κεφαλαίων'!I16)&gt;0,('Υπολογισμοί Κεφαλαίων'!I9)/('Υπολογισμοί Κεφαλαίων'!I16),"n.a."))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Κεφάλαιο κίνησης προς τοκοφόρο χρέος</x:v>
      </x:c>
      <x:c r="D24" s="26"/>
      <x:c r="E24" s="42" t="str">
        <x:f>IF(COUNT('Υπολογισμοί Κεφαλαίων'!E10,'Υπολογισμοί Κεφαλαίων'!E8)&lt;2,"n.a.",IF(('Υπολογισμοί Κεφαλαίων'!E8)&gt;0,('Υπολογισμοί Κεφαλαίων'!E10)/('Υπολογισμοί Κεφαλαίων'!E8),"n.a."))</x:f>
        <x:v>n.a.</x:v>
      </x:c>
      <x:c r="F24" s="42" t="str">
        <x:f>IF(COUNT('Υπολογισμοί Κεφαλαίων'!F10,'Υπολογισμοί Κεφαλαίων'!F8)&lt;2,"n.a.",IF(('Υπολογισμοί Κεφαλαίων'!F8)&gt;0,('Υπολογισμοί Κεφαλαίων'!F10)/('Υπολογισμοί Κεφαλαίων'!F8),"n.a."))</x:f>
        <x:v>n.a.</x:v>
      </x:c>
      <x:c r="G24" s="42" t="str">
        <x:f>IF(COUNT('Υπολογισμοί Κεφαλαίων'!G10,'Υπολογισμοί Κεφαλαίων'!G8)&lt;2,"n.a.",IF(('Υπολογισμοί Κεφαλαίων'!G8)&gt;0,('Υπολογισμοί Κεφαλαίων'!G10)/('Υπολογισμοί Κεφαλαίων'!G8),"n.a."))</x:f>
        <x:v>n.a.</x:v>
      </x:c>
      <x:c r="H24" s="42" t="str">
        <x:f>IF(COUNT('Υπολογισμοί Κεφαλαίων'!H10,'Υπολογισμοί Κεφαλαίων'!H8)&lt;2,"n.a.",IF(('Υπολογισμοί Κεφαλαίων'!H8)&gt;0,('Υπολογισμοί Κεφαλαίων'!H10)/('Υπολογισμοί Κεφαλαίων'!H8),"n.a."))</x:f>
        <x:v>n.a.</x:v>
      </x:c>
      <x:c r="I24" s="42" t="str">
        <x:f>IF(COUNT('Υπολογισμοί Κεφαλαίων'!I10,'Υπολογισμοί Κεφαλαίων'!I8)&lt;2,"n.a.",IF(('Υπολογισμοί Κεφαλαίων'!I8)&gt;0,('Υπολογισμοί Κεφαλαίων'!I10)/('Υπολογισμοί Κεφαλαίων'!I8),"n.a."))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Τοκοφόρο χρέος προς συνολικά κεφάλαια</x:v>
      </x:c>
      <x:c r="D25" s="21"/>
      <x:c r="E25" s="37" t="str">
        <x:f>IF(COUNT('Υπολογισμοί Κεφαλαίων'!E8,'Ισολογισμός'!E52)&lt;2,"n.a.",IF(('Υπολογισμοί Κεφαλαίων'!E8+'Ισολογισμός'!E52)&gt;0,('Υπολογισμοί Κεφαλαίων'!E8)/('Υπολογισμοί Κεφαλαίων'!E8+'Ισολογισμός'!E52),"n.a."))</x:f>
        <x:v>n.a.</x:v>
      </x:c>
      <x:c r="F25" s="37" t="str">
        <x:f>IF(COUNT('Υπολογισμοί Κεφαλαίων'!F8,'Ισολογισμός'!F52)&lt;2,"n.a.",IF(('Υπολογισμοί Κεφαλαίων'!F8+'Ισολογισμός'!F52)&gt;0,('Υπολογισμοί Κεφαλαίων'!F8)/('Υπολογισμοί Κεφαλαίων'!F8+'Ισολογισμός'!F52),"n.a."))</x:f>
        <x:v>n.a.</x:v>
      </x:c>
      <x:c r="G25" s="37" t="str">
        <x:f>IF(COUNT('Υπολογισμοί Κεφαλαίων'!G8,'Ισολογισμός'!G52)&lt;2,"n.a.",IF(('Υπολογισμοί Κεφαλαίων'!G8+'Ισολογισμός'!G52)&gt;0,('Υπολογισμοί Κεφαλαίων'!G8)/('Υπολογισμοί Κεφαλαίων'!G8+'Ισολογισμός'!G52),"n.a."))</x:f>
        <x:v>n.a.</x:v>
      </x:c>
      <x:c r="H25" s="37" t="str">
        <x:f>IF(COUNT('Υπολογισμοί Κεφαλαίων'!H8,'Ισολογισμός'!H52)&lt;2,"n.a.",IF(('Υπολογισμοί Κεφαλαίων'!H8+'Ισολογισμός'!H52)&gt;0,('Υπολογισμοί Κεφαλαίων'!H8)/('Υπολογισμοί Κεφαλαίων'!H8+'Ισολογισμός'!H52),"n.a."))</x:f>
        <x:v>n.a.</x:v>
      </x:c>
      <x:c r="I25" s="37" t="str">
        <x:f>IF(COUNT('Υπολογισμοί Κεφαλαίων'!I8,'Ισολογισμός'!I52)&lt;2,"n.a.",IF(('Υπολογισμοί Κεφαλαίων'!I8+'Ισολογισμός'!I52)&gt;0,('Υπολογισμοί Κεφαλαίων'!I8)/('Υπολογισμοί Κεφαλαίων'!I8+'Ισολογισμός'!I52),"n.a."))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Ποιότητα Ταμειακών Ροών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Μετατροπή κερδών σε μετρητά, επενδύσεις και διανομές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Ελεύθερη ταμειακή ροή μετά επενδύσεις</x:v>
      </x:c>
      <x:c r="D7" s="15"/>
      <x:c r="E7" s="43" t="str">
        <x:f>IF(COUNT('Υπολογισμοί Κεφαλαίων'!E19)&lt;1,"n.a.",IF(TRUE,'Υπολογισμοί Κεφαλαίων'!E19,"n.a."))</x:f>
        <x:v>n.a.</x:v>
      </x:c>
      <x:c r="F7" s="43" t="str">
        <x:f>IF(COUNT('Υπολογισμοί Κεφαλαίων'!F19)&lt;1,"n.a.",IF(TRUE,'Υπολογισμοί Κεφαλαίων'!F19,"n.a."))</x:f>
        <x:v>n.a.</x:v>
      </x:c>
      <x:c r="G7" s="43" t="str">
        <x:f>IF(COUNT('Υπολογισμοί Κεφαλαίων'!G19)&lt;1,"n.a.",IF(TRUE,'Υπολογισμοί Κεφαλαίων'!G19,"n.a."))</x:f>
        <x:v>n.a.</x:v>
      </x:c>
      <x:c r="H7" s="43" t="str">
        <x:f>IF(COUNT('Υπολογισμοί Κεφαλαίων'!H19)&lt;1,"n.a.",IF(TRUE,'Υπολογισμοί Κεφαλαίων'!H19,"n.a."))</x:f>
        <x:v>n.a.</x:v>
      </x:c>
      <x:c r="I7" s="43" t="str">
        <x:f>IF(COUNT('Υπολογισμοί Κεφαλαίων'!I19)&lt;1,"n.a.",IF(TRUE,'Υπολογισμοί Κεφαλαίων'!I19,"n.a."))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" t="str">
        <x:v>Ελεύθερη ροή μετά κεφάλαιο μισθώσεων</x:v>
      </x:c>
      <x:c r="D8" s="15"/>
      <x:c r="E8" s="39" t="str">
        <x:f>IF(COUNT('Υπολογισμοί Κεφαλαίων'!E19,'Κατάσταση Ταμειακών Ροών'!E33)&lt;2,"n.a.",IF(TRUE,'Υπολογισμοί Κεφαλαίων'!E19+'Κατάσταση Ταμειακών Ροών'!E33,"n.a."))</x:f>
        <x:v>n.a.</x:v>
      </x:c>
      <x:c r="F8" s="39" t="str">
        <x:f>IF(COUNT('Υπολογισμοί Κεφαλαίων'!F19,'Κατάσταση Ταμειακών Ροών'!F33)&lt;2,"n.a.",IF(TRUE,'Υπολογισμοί Κεφαλαίων'!F19+'Κατάσταση Ταμειακών Ροών'!F33,"n.a."))</x:f>
        <x:v>n.a.</x:v>
      </x:c>
      <x:c r="G8" s="39" t="str">
        <x:f>IF(COUNT('Υπολογισμοί Κεφαλαίων'!G19,'Κατάσταση Ταμειακών Ροών'!G33)&lt;2,"n.a.",IF(TRUE,'Υπολογισμοί Κεφαλαίων'!G19+'Κατάσταση Ταμειακών Ροών'!G33,"n.a."))</x:f>
        <x:v>n.a.</x:v>
      </x:c>
      <x:c r="H8" s="39" t="str">
        <x:f>IF(COUNT('Υπολογισμοί Κεφαλαίων'!H19,'Κατάσταση Ταμειακών Ροών'!H33)&lt;2,"n.a.",IF(TRUE,'Υπολογισμοί Κεφαλαίων'!H19+'Κατάσταση Ταμειακών Ροών'!H33,"n.a."))</x:f>
        <x:v>n.a.</x:v>
      </x:c>
      <x:c r="I8" s="39" t="str">
        <x:f>IF(COUNT('Υπολογισμοί Κεφαλαίων'!I19,'Κατάσταση Ταμειακών Ροών'!I33)&lt;2,"n.a.",IF(TRUE,'Υπολογισμοί Κεφαλαίων'!I19+'Κατάσταση Ταμειακών Ροών'!I33,"n.a."))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Λειτουργικές ροές προς καθαρά κέρδη</x:v>
      </x:c>
      <x:c r="D9" s="26"/>
      <x:c r="E9" s="41" t="str">
        <x:f>IF(COUNT('Κατάσταση Ταμειακών Ροών'!E18,'Αποτελέσματα Χρήσης'!E28)&lt;2,"n.a.",IF(('Αποτελέσματα Χρήσης'!E28)&gt;0,('Κατάσταση Ταμειακών Ροών'!E18)/('Αποτελέσματα Χρήσης'!E28),"n.a."))</x:f>
        <x:v>n.a.</x:v>
      </x:c>
      <x:c r="F9" s="41" t="str">
        <x:f>IF(COUNT('Κατάσταση Ταμειακών Ροών'!F18,'Αποτελέσματα Χρήσης'!F28)&lt;2,"n.a.",IF(('Αποτελέσματα Χρήσης'!F28)&gt;0,('Κατάσταση Ταμειακών Ροών'!F18)/('Αποτελέσματα Χρήσης'!F28),"n.a."))</x:f>
        <x:v>n.a.</x:v>
      </x:c>
      <x:c r="G9" s="41" t="str">
        <x:f>IF(COUNT('Κατάσταση Ταμειακών Ροών'!G18,'Αποτελέσματα Χρήσης'!G28)&lt;2,"n.a.",IF(('Αποτελέσματα Χρήσης'!G28)&gt;0,('Κατάσταση Ταμειακών Ροών'!G18)/('Αποτελέσματα Χρήσης'!G28),"n.a."))</x:f>
        <x:v>n.a.</x:v>
      </x:c>
      <x:c r="H9" s="41" t="str">
        <x:f>IF(COUNT('Κατάσταση Ταμειακών Ροών'!H18,'Αποτελέσματα Χρήσης'!H28)&lt;2,"n.a.",IF(('Αποτελέσματα Χρήσης'!H28)&gt;0,('Κατάσταση Ταμειακών Ροών'!H18)/('Αποτελέσματα Χρήσης'!H28),"n.a."))</x:f>
        <x:v>n.a.</x:v>
      </x:c>
      <x:c r="I9" s="41" t="str">
        <x:f>IF(COUNT('Κατάσταση Ταμειακών Ροών'!I18,'Αποτελέσματα Χρήσης'!I28)&lt;2,"n.a.",IF(('Αποτελέσματα Χρήσης'!I28)&gt;0,('Κατάσταση Ταμειακών Ροών'!I18)/('Αποτελέσματα Χρήσης'!I28),"n.a."))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Λειτουργικές ροές προς κέρδη προ φόρων</x:v>
      </x:c>
      <x:c r="D10" s="26"/>
      <x:c r="E10" s="42" t="str">
        <x:f>IF(COUNT('Κατάσταση Ταμειακών Ροών'!E18,'Αποτελέσματα Χρήσης'!E25)&lt;2,"n.a.",IF(('Αποτελέσματα Χρήσης'!E25)&gt;0,('Κατάσταση Ταμειακών Ροών'!E18)/('Αποτελέσματα Χρήσης'!E25),"n.a."))</x:f>
        <x:v>n.a.</x:v>
      </x:c>
      <x:c r="F10" s="42" t="str">
        <x:f>IF(COUNT('Κατάσταση Ταμειακών Ροών'!F18,'Αποτελέσματα Χρήσης'!F25)&lt;2,"n.a.",IF(('Αποτελέσματα Χρήσης'!F25)&gt;0,('Κατάσταση Ταμειακών Ροών'!F18)/('Αποτελέσματα Χρήσης'!F25),"n.a."))</x:f>
        <x:v>n.a.</x:v>
      </x:c>
      <x:c r="G10" s="42" t="str">
        <x:f>IF(COUNT('Κατάσταση Ταμειακών Ροών'!G18,'Αποτελέσματα Χρήσης'!G25)&lt;2,"n.a.",IF(('Αποτελέσματα Χρήσης'!G25)&gt;0,('Κατάσταση Ταμειακών Ροών'!G18)/('Αποτελέσματα Χρήσης'!G25),"n.a."))</x:f>
        <x:v>n.a.</x:v>
      </x:c>
      <x:c r="H10" s="42" t="str">
        <x:f>IF(COUNT('Κατάσταση Ταμειακών Ροών'!H18,'Αποτελέσματα Χρήσης'!H25)&lt;2,"n.a.",IF(('Αποτελέσματα Χρήσης'!H25)&gt;0,('Κατάσταση Ταμειακών Ροών'!H18)/('Αποτελέσματα Χρήσης'!H25),"n.a."))</x:f>
        <x:v>n.a.</x:v>
      </x:c>
      <x:c r="I10" s="42" t="str">
        <x:f>IF(COUNT('Κατάσταση Ταμειακών Ροών'!I18,'Αποτελέσματα Χρήσης'!I25)&lt;2,"n.a.",IF(('Αποτελέσματα Χρήσης'!I25)&gt;0,('Κατάσταση Ταμειακών Ροών'!I18)/('Αποτελέσματα Χρήσης'!I25),"n.a."))</x:f>
        <x:v>n.a.</x:v>
      </x:c>
      <x:c r="J10" s="2"/>
      <x:c r="K10" s="2" t="str">
        <x:v>Ρητά διακριτή εκδοχή προ φόρων.</x:v>
      </x:c>
      <x:c r="L10" s="2"/>
      <x:c r="M10" s="2"/>
    </x:row>
    <x:row r="11" ht="23" customHeight="1">
      <x:c r="A11" s="1"/>
      <x:c r="B11" s="1"/>
      <x:c r="C11" s="20" t="str">
        <x:v>Περιθώριο λειτουργικών ταμειακών ροών</x:v>
      </x:c>
      <x:c r="D11" s="21"/>
      <x:c r="E11" s="37" t="str">
        <x:f>IF(COUNT('Κατάσταση Ταμειακών Ροών'!E18,'Αποτελέσματα Χρήσης'!E8)&lt;2,"n.a.",IF(('Αποτελέσματα Χρήσης'!E8)&gt;0,('Κατάσταση Ταμειακών Ροών'!E18)/('Αποτελέσματα Χρήσης'!E8),"n.a."))</x:f>
        <x:v>n.a.</x:v>
      </x:c>
      <x:c r="F11" s="37" t="str">
        <x:f>IF(COUNT('Κατάσταση Ταμειακών Ροών'!F18,'Αποτελέσματα Χρήσης'!F8)&lt;2,"n.a.",IF(('Αποτελέσματα Χρήσης'!F8)&gt;0,('Κατάσταση Ταμειακών Ροών'!F18)/('Αποτελέσματα Χρήσης'!F8),"n.a."))</x:f>
        <x:v>n.a.</x:v>
      </x:c>
      <x:c r="G11" s="37" t="str">
        <x:f>IF(COUNT('Κατάσταση Ταμειακών Ροών'!G18,'Αποτελέσματα Χρήσης'!G8)&lt;2,"n.a.",IF(('Αποτελέσματα Χρήσης'!G8)&gt;0,('Κατάσταση Ταμειακών Ροών'!G18)/('Αποτελέσματα Χρήσης'!G8),"n.a."))</x:f>
        <x:v>n.a.</x:v>
      </x:c>
      <x:c r="H11" s="37" t="str">
        <x:f>IF(COUNT('Κατάσταση Ταμειακών Ροών'!H18,'Αποτελέσματα Χρήσης'!H8)&lt;2,"n.a.",IF(('Αποτελέσματα Χρήσης'!H8)&gt;0,('Κατάσταση Ταμειακών Ροών'!H18)/('Αποτελέσματα Χρήσης'!H8),"n.a."))</x:f>
        <x:v>n.a.</x:v>
      </x:c>
      <x:c r="I11" s="37" t="str">
        <x:f>IF(COUNT('Κατάσταση Ταμειακών Ροών'!I18,'Αποτελέσματα Χρήσης'!I8)&lt;2,"n.a.",IF(('Αποτελέσματα Χρήσης'!I8)&gt;0,('Κατάσταση Ταμειακών Ροών'!I18)/('Αποτελέσματα Χρήσης'!I8),"n.a."))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Περιθώριο ελεύθερων ταμειακών ροών</x:v>
      </x:c>
      <x:c r="D12" s="21"/>
      <x:c r="E12" s="36" t="str">
        <x:f>IF(COUNT('Υπολογισμοί Κεφαλαίων'!E19,'Αποτελέσματα Χρήσης'!E8)&lt;2,"n.a.",IF(('Αποτελέσματα Χρήσης'!E8)&gt;0,('Υπολογισμοί Κεφαλαίων'!E19)/('Αποτελέσματα Χρήσης'!E8),"n.a."))</x:f>
        <x:v>n.a.</x:v>
      </x:c>
      <x:c r="F12" s="36" t="str">
        <x:f>IF(COUNT('Υπολογισμοί Κεφαλαίων'!F19,'Αποτελέσματα Χρήσης'!F8)&lt;2,"n.a.",IF(('Αποτελέσματα Χρήσης'!F8)&gt;0,('Υπολογισμοί Κεφαλαίων'!F19)/('Αποτελέσματα Χρήσης'!F8),"n.a."))</x:f>
        <x:v>n.a.</x:v>
      </x:c>
      <x:c r="G12" s="36" t="str">
        <x:f>IF(COUNT('Υπολογισμοί Κεφαλαίων'!G19,'Αποτελέσματα Χρήσης'!G8)&lt;2,"n.a.",IF(('Αποτελέσματα Χρήσης'!G8)&gt;0,('Υπολογισμοί Κεφαλαίων'!G19)/('Αποτελέσματα Χρήσης'!G8),"n.a."))</x:f>
        <x:v>n.a.</x:v>
      </x:c>
      <x:c r="H12" s="36" t="str">
        <x:f>IF(COUNT('Υπολογισμοί Κεφαλαίων'!H19,'Αποτελέσματα Χρήσης'!H8)&lt;2,"n.a.",IF(('Αποτελέσματα Χρήσης'!H8)&gt;0,('Υπολογισμοί Κεφαλαίων'!H19)/('Αποτελέσματα Χρήσης'!H8),"n.a."))</x:f>
        <x:v>n.a.</x:v>
      </x:c>
      <x:c r="I12" s="36" t="str">
        <x:f>IF(COUNT('Υπολογισμοί Κεφαλαίων'!I19,'Αποτελέσματα Χρήσης'!I8)&lt;2,"n.a.",IF(('Αποτελέσματα Χρήσης'!I8)&gt;0,('Υπολογισμοί Κεφαλαίων'!I19)/('Αποτελέσματα Χρήσης'!I8),"n.a."))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Κάλυψη επενδύσεων από λειτουργικές ροές</x:v>
      </x:c>
      <x:c r="D13" s="26"/>
      <x:c r="E13" s="41" t="str">
        <x:f>IF(COUNT('Κατάσταση Ταμειακών Ροών'!E18,'Κατάσταση Ταμειακών Ροών'!E20)&lt;2,"n.a.",IF((-'Κατάσταση Ταμειακών Ροών'!E20)&gt;0,('Κατάσταση Ταμειακών Ροών'!E18)/(-'Κατάσταση Ταμειακών Ροών'!E20),"n.a."))</x:f>
        <x:v>n.a.</x:v>
      </x:c>
      <x:c r="F13" s="41" t="str">
        <x:f>IF(COUNT('Κατάσταση Ταμειακών Ροών'!F18,'Κατάσταση Ταμειακών Ροών'!F20)&lt;2,"n.a.",IF((-'Κατάσταση Ταμειακών Ροών'!F20)&gt;0,('Κατάσταση Ταμειακών Ροών'!F18)/(-'Κατάσταση Ταμειακών Ροών'!F20),"n.a."))</x:f>
        <x:v>n.a.</x:v>
      </x:c>
      <x:c r="G13" s="41" t="str">
        <x:f>IF(COUNT('Κατάσταση Ταμειακών Ροών'!G18,'Κατάσταση Ταμειακών Ροών'!G20)&lt;2,"n.a.",IF((-'Κατάσταση Ταμειακών Ροών'!G20)&gt;0,('Κατάσταση Ταμειακών Ροών'!G18)/(-'Κατάσταση Ταμειακών Ροών'!G20),"n.a."))</x:f>
        <x:v>n.a.</x:v>
      </x:c>
      <x:c r="H13" s="41" t="str">
        <x:f>IF(COUNT('Κατάσταση Ταμειακών Ροών'!H18,'Κατάσταση Ταμειακών Ροών'!H20)&lt;2,"n.a.",IF((-'Κατάσταση Ταμειακών Ροών'!H20)&gt;0,('Κατάσταση Ταμειακών Ροών'!H18)/(-'Κατάσταση Ταμειακών Ροών'!H20),"n.a."))</x:f>
        <x:v>n.a.</x:v>
      </x:c>
      <x:c r="I13" s="41" t="str">
        <x:f>IF(COUNT('Κατάσταση Ταμειακών Ροών'!I18,'Κατάσταση Ταμειακών Ροών'!I20)&lt;2,"n.a.",IF((-'Κατάσταση Ταμειακών Ροών'!I20)&gt;0,('Κατάσταση Ταμειακών Ροών'!I18)/(-'Κατάσταση Ταμειακών Ροών'!I20),"n.a."))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0" t="str">
        <x:v>Επενδύσεις παγίων προς πωλήσεις</x:v>
      </x:c>
      <x:c r="D14" s="21"/>
      <x:c r="E14" s="36" t="str">
        <x:f>IF(COUNT('Κατάσταση Ταμειακών Ροών'!E20,'Αποτελέσματα Χρήσης'!E8)&lt;2,"n.a.",IF(('Αποτελέσματα Χρήσης'!E8)&gt;0,(-'Κατάσταση Ταμειακών Ροών'!E20)/('Αποτελέσματα Χρήσης'!E8),"n.a."))</x:f>
        <x:v>n.a.</x:v>
      </x:c>
      <x:c r="F14" s="36" t="str">
        <x:f>IF(COUNT('Κατάσταση Ταμειακών Ροών'!F20,'Αποτελέσματα Χρήσης'!F8)&lt;2,"n.a.",IF(('Αποτελέσματα Χρήσης'!F8)&gt;0,(-'Κατάσταση Ταμειακών Ροών'!F20)/('Αποτελέσματα Χρήσης'!F8),"n.a."))</x:f>
        <x:v>n.a.</x:v>
      </x:c>
      <x:c r="G14" s="36" t="str">
        <x:f>IF(COUNT('Κατάσταση Ταμειακών Ροών'!G20,'Αποτελέσματα Χρήσης'!G8)&lt;2,"n.a.",IF(('Αποτελέσματα Χρήσης'!G8)&gt;0,(-'Κατάσταση Ταμειακών Ροών'!G20)/('Αποτελέσματα Χρήσης'!G8),"n.a."))</x:f>
        <x:v>n.a.</x:v>
      </x:c>
      <x:c r="H14" s="36" t="str">
        <x:f>IF(COUNT('Κατάσταση Ταμειακών Ροών'!H20,'Αποτελέσματα Χρήσης'!H8)&lt;2,"n.a.",IF(('Αποτελέσματα Χρήσης'!H8)&gt;0,(-'Κατάσταση Ταμειακών Ροών'!H20)/('Αποτελέσματα Χρήσης'!H8),"n.a."))</x:f>
        <x:v>n.a.</x:v>
      </x:c>
      <x:c r="I14" s="36" t="str">
        <x:f>IF(COUNT('Κατάσταση Ταμειακών Ροών'!I20,'Αποτελέσματα Χρήσης'!I8)&lt;2,"n.a.",IF(('Αποτελέσματα Χρήσης'!I8)&gt;0,(-'Κατάσταση Ταμειακών Ροών'!I20)/('Αποτελέσματα Χρήσης'!I8),"n.a."))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0" t="str">
        <x:v>Επενδύσεις παγίων προς αποσβέσεις</x:v>
      </x:c>
      <x:c r="D15" s="26"/>
      <x:c r="E15" s="41" t="str">
        <x:f>IF(COUNT('Κατάσταση Ταμειακών Ροών'!E20,'Αποτελέσματα Χρήσης'!E17)&lt;2,"n.a.",IF(('Αποτελέσματα Χρήσης'!E17)&gt;0,(-'Κατάσταση Ταμειακών Ροών'!E20)/('Αποτελέσματα Χρήσης'!E17),"n.a."))</x:f>
        <x:v>n.a.</x:v>
      </x:c>
      <x:c r="F15" s="41" t="str">
        <x:f>IF(COUNT('Κατάσταση Ταμειακών Ροών'!F20,'Αποτελέσματα Χρήσης'!F17)&lt;2,"n.a.",IF(('Αποτελέσματα Χρήσης'!F17)&gt;0,(-'Κατάσταση Ταμειακών Ροών'!F20)/('Αποτελέσματα Χρήσης'!F17),"n.a."))</x:f>
        <x:v>n.a.</x:v>
      </x:c>
      <x:c r="G15" s="41" t="str">
        <x:f>IF(COUNT('Κατάσταση Ταμειακών Ροών'!G20,'Αποτελέσματα Χρήσης'!G17)&lt;2,"n.a.",IF(('Αποτελέσματα Χρήσης'!G17)&gt;0,(-'Κατάσταση Ταμειακών Ροών'!G20)/('Αποτελέσματα Χρήσης'!G17),"n.a."))</x:f>
        <x:v>n.a.</x:v>
      </x:c>
      <x:c r="H15" s="41" t="str">
        <x:f>IF(COUNT('Κατάσταση Ταμειακών Ροών'!H20,'Αποτελέσματα Χρήσης'!H17)&lt;2,"n.a.",IF(('Αποτελέσματα Χρήσης'!H17)&gt;0,(-'Κατάσταση Ταμειακών Ροών'!H20)/('Αποτελέσματα Χρήσης'!H17),"n.a."))</x:f>
        <x:v>n.a.</x:v>
      </x:c>
      <x:c r="I15" s="41" t="str">
        <x:f>IF(COUNT('Κατάσταση Ταμειακών Ροών'!I20,'Αποτελέσματα Χρήσης'!I17)&lt;2,"n.a.",IF(('Αποτελέσματα Χρήσης'!I17)&gt;0,(-'Κατάσταση Ταμειακών Ροών'!I20)/('Αποτελέσματα Χρήσης'!I17),"n.a."))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Κάλυψη πληρωμένων μερισμάτων από λειτουργικές ροές</x:v>
      </x:c>
      <x:c r="D16" s="26"/>
      <x:c r="E16" s="42" t="str">
        <x:f>IF(COUNT('Κατάσταση Ταμειακών Ροών'!E18,'Κατάσταση Ταμειακών Ροών'!E34)&lt;2,"n.a.",IF((-'Κατάσταση Ταμειακών Ροών'!E34)&gt;0,('Κατάσταση Ταμειακών Ροών'!E18)/(-'Κατάσταση Ταμειακών Ροών'!E34),"n.a."))</x:f>
        <x:v>n.a.</x:v>
      </x:c>
      <x:c r="F16" s="42" t="str">
        <x:f>IF(COUNT('Κατάσταση Ταμειακών Ροών'!F18,'Κατάσταση Ταμειακών Ροών'!F34)&lt;2,"n.a.",IF((-'Κατάσταση Ταμειακών Ροών'!F34)&gt;0,('Κατάσταση Ταμειακών Ροών'!F18)/(-'Κατάσταση Ταμειακών Ροών'!F34),"n.a."))</x:f>
        <x:v>n.a.</x:v>
      </x:c>
      <x:c r="G16" s="42" t="str">
        <x:f>IF(COUNT('Κατάσταση Ταμειακών Ροών'!G18,'Κατάσταση Ταμειακών Ροών'!G34)&lt;2,"n.a.",IF((-'Κατάσταση Ταμειακών Ροών'!G34)&gt;0,('Κατάσταση Ταμειακών Ροών'!G18)/(-'Κατάσταση Ταμειακών Ροών'!G34),"n.a."))</x:f>
        <x:v>n.a.</x:v>
      </x:c>
      <x:c r="H16" s="42" t="str">
        <x:f>IF(COUNT('Κατάσταση Ταμειακών Ροών'!H18,'Κατάσταση Ταμειακών Ροών'!H34)&lt;2,"n.a.",IF((-'Κατάσταση Ταμειακών Ροών'!H34)&gt;0,('Κατάσταση Ταμειακών Ροών'!H18)/(-'Κατάσταση Ταμειακών Ροών'!H34),"n.a."))</x:f>
        <x:v>n.a.</x:v>
      </x:c>
      <x:c r="I16" s="42" t="str">
        <x:f>IF(COUNT('Κατάσταση Ταμειακών Ροών'!I18,'Κατάσταση Ταμειακών Ροών'!I34)&lt;2,"n.a.",IF((-'Κατάσταση Ταμειακών Ροών'!I34)&gt;0,('Κατάσταση Ταμειακών Ροών'!I18)/(-'Κατάσταση Ταμειακών Ροών'!I34),"n.a."))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Λειτουργικές ροές προς πληρωμένα μερίσματα και τόκους</x:v>
      </x:c>
      <x:c r="D17" s="26"/>
      <x:c r="E17" s="41" t="str">
        <x:f>IF(COUNT('Κατάσταση Ταμειακών Ροών'!E18,'Κατάσταση Ταμειακών Ροών'!E34,'Υπολογισμοί Κεφαλαίων'!E20)&lt;3,"n.a.",IF((-'Κατάσταση Ταμειακών Ροών'!E34+'Υπολογισμοί Κεφαλαίων'!E20)&gt;0,('Κατάσταση Ταμειακών Ροών'!E18)/(-'Κατάσταση Ταμειακών Ροών'!E34+'Υπολογισμοί Κεφαλαίων'!E20),"n.a."))</x:f>
        <x:v>n.a.</x:v>
      </x:c>
      <x:c r="F17" s="41" t="str">
        <x:f>IF(COUNT('Κατάσταση Ταμειακών Ροών'!F18,'Κατάσταση Ταμειακών Ροών'!F34,'Υπολογισμοί Κεφαλαίων'!F20)&lt;3,"n.a.",IF((-'Κατάσταση Ταμειακών Ροών'!F34+'Υπολογισμοί Κεφαλαίων'!F20)&gt;0,('Κατάσταση Ταμειακών Ροών'!F18)/(-'Κατάσταση Ταμειακών Ροών'!F34+'Υπολογισμοί Κεφαλαίων'!F20),"n.a."))</x:f>
        <x:v>n.a.</x:v>
      </x:c>
      <x:c r="G17" s="41" t="str">
        <x:f>IF(COUNT('Κατάσταση Ταμειακών Ροών'!G18,'Κατάσταση Ταμειακών Ροών'!G34,'Υπολογισμοί Κεφαλαίων'!G20)&lt;3,"n.a.",IF((-'Κατάσταση Ταμειακών Ροών'!G34+'Υπολογισμοί Κεφαλαίων'!G20)&gt;0,('Κατάσταση Ταμειακών Ροών'!G18)/(-'Κατάσταση Ταμειακών Ροών'!G34+'Υπολογισμοί Κεφαλαίων'!G20),"n.a."))</x:f>
        <x:v>n.a.</x:v>
      </x:c>
      <x:c r="H17" s="41" t="str">
        <x:f>IF(COUNT('Κατάσταση Ταμειακών Ροών'!H18,'Κατάσταση Ταμειακών Ροών'!H34,'Υπολογισμοί Κεφαλαίων'!H20)&lt;3,"n.a.",IF((-'Κατάσταση Ταμειακών Ροών'!H34+'Υπολογισμοί Κεφαλαίων'!H20)&gt;0,('Κατάσταση Ταμειακών Ροών'!H18)/(-'Κατάσταση Ταμειακών Ροών'!H34+'Υπολογισμοί Κεφαλαίων'!H20),"n.a."))</x:f>
        <x:v>n.a.</x:v>
      </x:c>
      <x:c r="I17" s="41" t="str">
        <x:f>IF(COUNT('Κατάσταση Ταμειακών Ροών'!I18,'Κατάσταση Ταμειακών Ροών'!I34,'Υπολογισμοί Κεφαλαίων'!I20)&lt;3,"n.a.",IF((-'Κατάσταση Ταμειακών Ροών'!I34+'Υπολογισμοί Κεφαλαίων'!I20)&gt;0,('Κατάσταση Ταμειακών Ροών'!I18)/(-'Κατάσταση Ταμειακών Ροών'!I34+'Υπολογισμοί Κεφαλαίων'!I20),"n.a."))</x:f>
        <x:v>n.a.</x:v>
      </x:c>
      <x:c r="J17" s="2"/>
      <x:c r="K17" s="2" t="str">
        <x:v>Δημοσιευμένες λειτουργικές ροές, όπου οι τόκοι μπορεί να έχουν ήδη αφαιρεθεί.</x:v>
      </x:c>
      <x:c r="L17" s="2"/>
      <x:c r="M17" s="2"/>
    </x:row>
    <x:row r="18" ht="23" customHeight="1">
      <x:c r="A18" s="1"/>
      <x:c r="B18" s="1"/>
      <x:c r="C18" s="20" t="str">
        <x:v>Λειτουργικές ροές προς χρέος</x:v>
      </x:c>
      <x:c r="D18" s="21"/>
      <x:c r="E18" s="36" t="str">
        <x:f>IF(COUNT('Κατάσταση Ταμειακών Ροών'!E18,'Υπολογισμοί Κεφαλαίων'!E8)&lt;2,"n.a.",IF(('Υπολογισμοί Κεφαλαίων'!E8)&gt;0,('Κατάσταση Ταμειακών Ροών'!E18)/('Υπολογισμοί Κεφαλαίων'!E8),"n.a."))</x:f>
        <x:v>n.a.</x:v>
      </x:c>
      <x:c r="F18" s="36" t="str">
        <x:f>IF(COUNT('Κατάσταση Ταμειακών Ροών'!F18,'Υπολογισμοί Κεφαλαίων'!F8)&lt;2,"n.a.",IF(('Υπολογισμοί Κεφαλαίων'!F8)&gt;0,('Κατάσταση Ταμειακών Ροών'!F18)/('Υπολογισμοί Κεφαλαίων'!F8),"n.a."))</x:f>
        <x:v>n.a.</x:v>
      </x:c>
      <x:c r="G18" s="36" t="str">
        <x:f>IF(COUNT('Κατάσταση Ταμειακών Ροών'!G18,'Υπολογισμοί Κεφαλαίων'!G8)&lt;2,"n.a.",IF(('Υπολογισμοί Κεφαλαίων'!G8)&gt;0,('Κατάσταση Ταμειακών Ροών'!G18)/('Υπολογισμοί Κεφαλαίων'!G8),"n.a."))</x:f>
        <x:v>n.a.</x:v>
      </x:c>
      <x:c r="H18" s="36" t="str">
        <x:f>IF(COUNT('Κατάσταση Ταμειακών Ροών'!H18,'Υπολογισμοί Κεφαλαίων'!H8)&lt;2,"n.a.",IF(('Υπολογισμοί Κεφαλαίων'!H8)&gt;0,('Κατάσταση Ταμειακών Ροών'!H18)/('Υπολογισμοί Κεφαλαίων'!H8),"n.a."))</x:f>
        <x:v>n.a.</x:v>
      </x:c>
      <x:c r="I18" s="36" t="str">
        <x:f>IF(COUNT('Κατάσταση Ταμειακών Ροών'!I18,'Υπολογισμοί Κεφαλαίων'!I8)&lt;2,"n.a.",IF(('Υπολογισμοί Κεφαλαίων'!I8)&gt;0,('Κατάσταση Ταμειακών Ροών'!I18)/('Υπολογισμοί Κεφαλαίων'!I8),"n.a."))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Δείκτης δεδουλευμένων</x:v>
      </x:c>
      <x:c r="D19" s="21"/>
      <x:c r="E19" s="37" t="str">
        <x:f>IF(COUNT('Αποτελέσματα Χρήσης'!E28,'Κατάσταση Ταμειακών Ροών'!E18,'Υπολογισμοί Κεφαλαίων'!E22)&lt;3,"n.a.",IF(('Υπολογισμοί Κεφαλαίων'!E22)&gt;0,('Αποτελέσματα Χρήσης'!E28-'Κατάσταση Ταμειακών Ροών'!E18)/('Υπολογισμοί Κεφαλαίων'!E22),"n.a."))</x:f>
        <x:v>n.a.</x:v>
      </x:c>
      <x:c r="F19" s="37" t="str">
        <x:f>IF(COUNT('Αποτελέσματα Χρήσης'!F28,'Κατάσταση Ταμειακών Ροών'!F18,'Υπολογισμοί Κεφαλαίων'!F22)&lt;3,"n.a.",IF(('Υπολογισμοί Κεφαλαίων'!F22)&gt;0,('Αποτελέσματα Χρήσης'!F28-'Κατάσταση Ταμειακών Ροών'!F18)/('Υπολογισμοί Κεφαλαίων'!F22),"n.a."))</x:f>
        <x:v>n.a.</x:v>
      </x:c>
      <x:c r="G19" s="37" t="str">
        <x:f>IF(COUNT('Αποτελέσματα Χρήσης'!G28,'Κατάσταση Ταμειακών Ροών'!G18,'Υπολογισμοί Κεφαλαίων'!G22)&lt;3,"n.a.",IF(('Υπολογισμοί Κεφαλαίων'!G22)&gt;0,('Αποτελέσματα Χρήσης'!G28-'Κατάσταση Ταμειακών Ροών'!G18)/('Υπολογισμοί Κεφαλαίων'!G22),"n.a."))</x:f>
        <x:v>n.a.</x:v>
      </x:c>
      <x:c r="H19" s="37" t="str">
        <x:f>IF(COUNT('Αποτελέσματα Χρήσης'!H28,'Κατάσταση Ταμειακών Ροών'!H18,'Υπολογισμοί Κεφαλαίων'!H22)&lt;3,"n.a.",IF(('Υπολογισμοί Κεφαλαίων'!H22)&gt;0,('Αποτελέσματα Χρήσης'!H28-'Κατάσταση Ταμειακών Ροών'!H18)/('Υπολογισμοί Κεφαλαίων'!H22),"n.a."))</x:f>
        <x:v>n.a.</x:v>
      </x:c>
      <x:c r="I19" s="37" t="str">
        <x:f>IF(COUNT('Αποτελέσματα Χρήσης'!I28,'Κατάσταση Ταμειακών Ροών'!I18,'Υπολογισμοί Κεφαλαίων'!I22)&lt;3,"n.a.",IF(('Υπολογισμοί Κεφαλαίων'!I22)&gt;0,('Αποτελέσματα Χρήσης'!I28-'Κατάσταση Ταμειακών Ροών'!I18)/('Υπολογισμοί Κεφαλαίων'!I22),"n.a."))</x:f>
        <x:v>n.a.</x:v>
      </x:c>
      <x:c r="J19" s="2"/>
      <x:c r="K19" s="2" t="str">
        <x:v>(Καθαρά κέρδη − λειτουργικές ροές) / μέσο ενεργητικό.</x:v>
      </x:c>
      <x:c r="L19" s="2"/>
      <x:c r="M19" s="2"/>
    </x:row>
    <x:row r="20" ht="23" customHeight="1">
      <x:c r="A20" s="1"/>
      <x:c r="B20" s="1"/>
      <x:c r="C20" s="2" t="str">
        <x:v>Καθαρή μεταβολή διαθεσίμων μαζί με συναλλαγματικές διαφορές</x:v>
      </x:c>
      <x:c r="D20" s="15"/>
      <x:c r="E20" s="39" t="str">
        <x:f>IF(COUNT('Κατάσταση Ταμειακών Ροών'!E18,'Κατάσταση Ταμειακών Ροών'!E27,'Κατάσταση Ταμειακών Ροών'!E37,'Κατάσταση Ταμειακών Ροών'!E39)&lt;4,"n.a.",IF(TRUE,'Κατάσταση Ταμειακών Ροών'!E18+'Κατάσταση Ταμειακών Ροών'!E27+'Κατάσταση Ταμειακών Ροών'!E37+'Κατάσταση Ταμειακών Ροών'!E39,"n.a."))</x:f>
        <x:v>n.a.</x:v>
      </x:c>
      <x:c r="F20" s="39" t="str">
        <x:f>IF(COUNT('Κατάσταση Ταμειακών Ροών'!F18,'Κατάσταση Ταμειακών Ροών'!F27,'Κατάσταση Ταμειακών Ροών'!F37,'Κατάσταση Ταμειακών Ροών'!F39)&lt;4,"n.a.",IF(TRUE,'Κατάσταση Ταμειακών Ροών'!F18+'Κατάσταση Ταμειακών Ροών'!F27+'Κατάσταση Ταμειακών Ροών'!F37+'Κατάσταση Ταμειακών Ροών'!F39,"n.a."))</x:f>
        <x:v>n.a.</x:v>
      </x:c>
      <x:c r="G20" s="39" t="str">
        <x:f>IF(COUNT('Κατάσταση Ταμειακών Ροών'!G18,'Κατάσταση Ταμειακών Ροών'!G27,'Κατάσταση Ταμειακών Ροών'!G37,'Κατάσταση Ταμειακών Ροών'!G39)&lt;4,"n.a.",IF(TRUE,'Κατάσταση Ταμειακών Ροών'!G18+'Κατάσταση Ταμειακών Ροών'!G27+'Κατάσταση Ταμειακών Ροών'!G37+'Κατάσταση Ταμειακών Ροών'!G39,"n.a."))</x:f>
        <x:v>n.a.</x:v>
      </x:c>
      <x:c r="H20" s="39" t="str">
        <x:f>IF(COUNT('Κατάσταση Ταμειακών Ροών'!H18,'Κατάσταση Ταμειακών Ροών'!H27,'Κατάσταση Ταμειακών Ροών'!H37,'Κατάσταση Ταμειακών Ροών'!H39)&lt;4,"n.a.",IF(TRUE,'Κατάσταση Ταμειακών Ροών'!H18+'Κατάσταση Ταμειακών Ροών'!H27+'Κατάσταση Ταμειακών Ροών'!H37+'Κατάσταση Ταμειακών Ροών'!H39,"n.a."))</x:f>
        <x:v>n.a.</x:v>
      </x:c>
      <x:c r="I20" s="39" t="str">
        <x:f>IF(COUNT('Κατάσταση Ταμειακών Ροών'!I18,'Κατάσταση Ταμειακών Ροών'!I27,'Κατάσταση Ταμειακών Ροών'!I37,'Κατάσταση Ταμειακών Ροών'!I39)&lt;4,"n.a.",IF(TRUE,'Κατάσταση Ταμειακών Ροών'!I18+'Κατάσταση Ταμειακών Ροών'!I27+'Κατάσταση Ταμειακών Ροών'!I37+'Κατάσταση Ταμειακών Ροών'!I39,"n.a."))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" t="str">
        <x:v>Ταμειακή ροή μετά επενδύσεις, μερίσματα και ίδιες μετοχές</x:v>
      </x:c>
      <x:c r="D21" s="15"/>
      <x:c r="E21" s="43" t="str">
        <x:f>IF(COUNT('Υπολογισμοί Κεφαλαίων'!E19,'Κατάσταση Ταμειακών Ροών'!E34,'Κατάσταση Ταμειακών Ροών'!E30)&lt;3,"n.a.",IF(TRUE,'Υπολογισμοί Κεφαλαίων'!E19+'Κατάσταση Ταμειακών Ροών'!E34+'Κατάσταση Ταμειακών Ροών'!E30,"n.a."))</x:f>
        <x:v>n.a.</x:v>
      </x:c>
      <x:c r="F21" s="43" t="str">
        <x:f>IF(COUNT('Υπολογισμοί Κεφαλαίων'!F19,'Κατάσταση Ταμειακών Ροών'!F34,'Κατάσταση Ταμειακών Ροών'!F30)&lt;3,"n.a.",IF(TRUE,'Υπολογισμοί Κεφαλαίων'!F19+'Κατάσταση Ταμειακών Ροών'!F34+'Κατάσταση Ταμειακών Ροών'!F30,"n.a."))</x:f>
        <x:v>n.a.</x:v>
      </x:c>
      <x:c r="G21" s="43" t="str">
        <x:f>IF(COUNT('Υπολογισμοί Κεφαλαίων'!G19,'Κατάσταση Ταμειακών Ροών'!G34,'Κατάσταση Ταμειακών Ροών'!G30)&lt;3,"n.a.",IF(TRUE,'Υπολογισμοί Κεφαλαίων'!G19+'Κατάσταση Ταμειακών Ροών'!G34+'Κατάσταση Ταμειακών Ροών'!G30,"n.a."))</x:f>
        <x:v>n.a.</x:v>
      </x:c>
      <x:c r="H21" s="43" t="str">
        <x:f>IF(COUNT('Υπολογισμοί Κεφαλαίων'!H19,'Κατάσταση Ταμειακών Ροών'!H34,'Κατάσταση Ταμειακών Ροών'!H30)&lt;3,"n.a.",IF(TRUE,'Υπολογισμοί Κεφαλαίων'!H19+'Κατάσταση Ταμειακών Ροών'!H34+'Κατάσταση Ταμειακών Ροών'!H30,"n.a."))</x:f>
        <x:v>n.a.</x:v>
      </x:c>
      <x:c r="I21" s="43" t="str">
        <x:f>IF(COUNT('Υπολογισμοί Κεφαλαίων'!I19,'Κατάσταση Ταμειακών Ροών'!I34,'Κατάσταση Ταμειακών Ροών'!I30)&lt;3,"n.a.",IF(TRUE,'Υπολογισμοί Κεφαλαίων'!I19+'Κατάσταση Ταμειακών Ροών'!I34+'Κατάσταση Ταμειακών Ροών'!I30,"n.a."))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 t="str">
        <x:v>Λειτουργικές ροές μείον εκτιμώμενες επενδύσεις συντήρησης</x:v>
      </x:c>
      <x:c r="D22" s="15"/>
      <x:c r="E22" s="39" t="str">
        <x:f>IF(COUNT('Κατάσταση Ταμειακών Ροών'!E18,'Κατάσταση Ταμειακών Ροών'!E43)&lt;2,"n.a.",IF('Κατάσταση Ταμειακών Ροών'!E43&gt;=0,'Κατάσταση Ταμειακών Ροών'!E18-'Κατάσταση Ταμειακών Ροών'!E43,"n.a."))</x:f>
        <x:v>n.a.</x:v>
      </x:c>
      <x:c r="F22" s="39" t="str">
        <x:f>IF(COUNT('Κατάσταση Ταμειακών Ροών'!F18,'Κατάσταση Ταμειακών Ροών'!F43)&lt;2,"n.a.",IF('Κατάσταση Ταμειακών Ροών'!F43&gt;=0,'Κατάσταση Ταμειακών Ροών'!F18-'Κατάσταση Ταμειακών Ροών'!F43,"n.a."))</x:f>
        <x:v>n.a.</x:v>
      </x:c>
      <x:c r="G22" s="39" t="str">
        <x:f>IF(COUNT('Κατάσταση Ταμειακών Ροών'!G18,'Κατάσταση Ταμειακών Ροών'!G43)&lt;2,"n.a.",IF('Κατάσταση Ταμειακών Ροών'!G43&gt;=0,'Κατάσταση Ταμειακών Ροών'!G18-'Κατάσταση Ταμειακών Ροών'!G43,"n.a."))</x:f>
        <x:v>n.a.</x:v>
      </x:c>
      <x:c r="H22" s="39" t="str">
        <x:f>IF(COUNT('Κατάσταση Ταμειακών Ροών'!H18,'Κατάσταση Ταμειακών Ροών'!H43)&lt;2,"n.a.",IF('Κατάσταση Ταμειακών Ροών'!H43&gt;=0,'Κατάσταση Ταμειακών Ροών'!H18-'Κατάσταση Ταμειακών Ροών'!H43,"n.a."))</x:f>
        <x:v>n.a.</x:v>
      </x:c>
      <x:c r="I22" s="39" t="str">
        <x:f>IF(COUNT('Κατάσταση Ταμειακών Ροών'!I18,'Κατάσταση Ταμειακών Ροών'!I43)&lt;2,"n.a.",IF('Κατάσταση Ταμειακών Ροών'!I43&gt;=0,'Κατάσταση Ταμειακών Ροών'!I18-'Κατάσταση Ταμειακών Ροών'!I43,"n.a."))</x:f>
        <x:v>n.a.</x:v>
      </x:c>
      <x:c r="J22" s="2"/>
      <x:c r="K22" s="2" t="str">
        <x:v>Ταμειακή προσέγγιση που απαιτεί τεκμηριωμένη εκτίμηση συντήρησης.</x:v>
      </x:c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Ανάπτυξη και Τάσεις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Ετήσιες μεταβολές, δείκτες βάσης και σύνθετη ανάπτυξη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Ετήσια μεταβολή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Ανάπτυξη πωλήσεων</x:v>
      </x:c>
      <x:c r="D8" s="21"/>
      <x:c r="E8" s="36" t="str">
        <x:f>IF(COUNT('Αποτελέσματα Χρήσης'!E8,'Αποτελέσματα Χρήσης'!D8)&lt;2,"n.a.",IF(('Αποτελέσματα Χρήσης'!D8)&gt;0,('Αποτελέσματα Χρήσης'!E8-'Αποτελέσματα Χρήσης'!D8)/('Αποτελέσματα Χρήσης'!D8),"n.a."))</x:f>
        <x:v>n.a.</x:v>
      </x:c>
      <x:c r="F8" s="36" t="str">
        <x:f>IF(COUNT('Αποτελέσματα Χρήσης'!F8,'Αποτελέσματα Χρήσης'!E8)&lt;2,"n.a.",IF(('Αποτελέσματα Χρήσης'!E8)&gt;0,('Αποτελέσματα Χρήσης'!F8-'Αποτελέσματα Χρήσης'!E8)/('Αποτελέσματα Χρήσης'!E8),"n.a."))</x:f>
        <x:v>n.a.</x:v>
      </x:c>
      <x:c r="G8" s="36" t="str">
        <x:f>IF(COUNT('Αποτελέσματα Χρήσης'!G8,'Αποτελέσματα Χρήσης'!F8)&lt;2,"n.a.",IF(('Αποτελέσματα Χρήσης'!F8)&gt;0,('Αποτελέσματα Χρήσης'!G8-'Αποτελέσματα Χρήσης'!F8)/('Αποτελέσματα Χρήσης'!F8),"n.a."))</x:f>
        <x:v>n.a.</x:v>
      </x:c>
      <x:c r="H8" s="36" t="str">
        <x:f>IF(COUNT('Αποτελέσματα Χρήσης'!H8,'Αποτελέσματα Χρήσης'!G8)&lt;2,"n.a.",IF(('Αποτελέσματα Χρήσης'!G8)&gt;0,('Αποτελέσματα Χρήσης'!H8-'Αποτελέσματα Χρήσης'!G8)/('Αποτελέσματα Χρήσης'!G8),"n.a."))</x:f>
        <x:v>n.a.</x:v>
      </x:c>
      <x:c r="I8" s="36" t="str">
        <x:f>IF(COUNT('Αποτελέσματα Χρήσης'!I8,'Αποτελέσματα Χρήσης'!H8)&lt;2,"n.a.",IF(('Αποτελέσματα Χρήσης'!H8)&gt;0,('Αποτελέσματα Χρήσης'!I8-'Αποτελέσματα Χρήσης'!H8)/('Αποτελέσματα Χρήσης'!H8),"n.a."))</x:f>
        <x:v>n.a.</x:v>
      </x:c>
      <x:c r="J8" s="2"/>
      <x:c r="K8" s="2" t="str">
        <x:v>Μη διαθέσιμο όταν η προηγούμενη τιμή είναι μηδενική ή αρνητική.</x:v>
      </x:c>
      <x:c r="L8" s="2"/>
      <x:c r="M8" s="2"/>
    </x:row>
    <x:row r="9" ht="23" customHeight="1">
      <x:c r="A9" s="1"/>
      <x:c r="B9" s="1"/>
      <x:c r="C9" s="20" t="str">
        <x:v>Ανάπτυξη μικτού κέρδους</x:v>
      </x:c>
      <x:c r="D9" s="21"/>
      <x:c r="E9" s="37" t="str">
        <x:f>IF(COUNT('Αποτελέσματα Χρήσης'!E10,'Αποτελέσματα Χρήσης'!D10)&lt;2,"n.a.",IF(('Αποτελέσματα Χρήσης'!D10)&gt;0,('Αποτελέσματα Χρήσης'!E10-'Αποτελέσματα Χρήσης'!D10)/('Αποτελέσματα Χρήσης'!D10),"n.a."))</x:f>
        <x:v>n.a.</x:v>
      </x:c>
      <x:c r="F9" s="37" t="str">
        <x:f>IF(COUNT('Αποτελέσματα Χρήσης'!F10,'Αποτελέσματα Χρήσης'!E10)&lt;2,"n.a.",IF(('Αποτελέσματα Χρήσης'!E10)&gt;0,('Αποτελέσματα Χρήσης'!F10-'Αποτελέσματα Χρήσης'!E10)/('Αποτελέσματα Χρήσης'!E10),"n.a."))</x:f>
        <x:v>n.a.</x:v>
      </x:c>
      <x:c r="G9" s="37" t="str">
        <x:f>IF(COUNT('Αποτελέσματα Χρήσης'!G10,'Αποτελέσματα Χρήσης'!F10)&lt;2,"n.a.",IF(('Αποτελέσματα Χρήσης'!F10)&gt;0,('Αποτελέσματα Χρήσης'!G10-'Αποτελέσματα Χρήσης'!F10)/('Αποτελέσματα Χρήσης'!F10),"n.a."))</x:f>
        <x:v>n.a.</x:v>
      </x:c>
      <x:c r="H9" s="37" t="str">
        <x:f>IF(COUNT('Αποτελέσματα Χρήσης'!H10,'Αποτελέσματα Χρήσης'!G10)&lt;2,"n.a.",IF(('Αποτελέσματα Χρήσης'!G10)&gt;0,('Αποτελέσματα Χρήσης'!H10-'Αποτελέσματα Χρήσης'!G10)/('Αποτελέσματα Χρήσης'!G10),"n.a."))</x:f>
        <x:v>n.a.</x:v>
      </x:c>
      <x:c r="I9" s="37" t="str">
        <x:f>IF(COUNT('Αποτελέσματα Χρήσης'!I10,'Αποτελέσματα Χρήσης'!H10)&lt;2,"n.a.",IF(('Αποτελέσματα Χρήσης'!H10)&gt;0,('Αποτελέσματα Χρήσης'!I10-'Αποτελέσματα Χρήσης'!H10)/('Αποτελέσματα Χρήσης'!H10),"n.a."))</x:f>
        <x:v>n.a.</x:v>
      </x:c>
      <x:c r="J9" s="2"/>
      <x:c r="K9" s="2" t="str">
        <x:v>Μη διαθέσιμο όταν η προηγούμενη τιμή είναι μηδενική ή αρνητική.</x:v>
      </x:c>
      <x:c r="L9" s="2"/>
      <x:c r="M9" s="2"/>
    </x:row>
    <x:row r="10" ht="23" customHeight="1">
      <x:c r="A10" s="1"/>
      <x:c r="B10" s="1"/>
      <x:c r="C10" s="20" t="str">
        <x:v>Ανάπτυξη λειτουργικών κερδών</x:v>
      </x:c>
      <x:c r="D10" s="21"/>
      <x:c r="E10" s="36" t="str">
        <x:f>IF(COUNT('Αποτελέσματα Χρήσης'!E16,'Αποτελέσματα Χρήσης'!D16)&lt;2,"n.a.",IF(('Αποτελέσματα Χρήσης'!D16)&gt;0,('Αποτελέσματα Χρήσης'!E16-'Αποτελέσματα Χρήσης'!D16)/('Αποτελέσματα Χρήσης'!D16),"n.a."))</x:f>
        <x:v>n.a.</x:v>
      </x:c>
      <x:c r="F10" s="36" t="str">
        <x:f>IF(COUNT('Αποτελέσματα Χρήσης'!F16,'Αποτελέσματα Χρήσης'!E16)&lt;2,"n.a.",IF(('Αποτελέσματα Χρήσης'!E16)&gt;0,('Αποτελέσματα Χρήσης'!F16-'Αποτελέσματα Χρήσης'!E16)/('Αποτελέσματα Χρήσης'!E16),"n.a."))</x:f>
        <x:v>n.a.</x:v>
      </x:c>
      <x:c r="G10" s="36" t="str">
        <x:f>IF(COUNT('Αποτελέσματα Χρήσης'!G16,'Αποτελέσματα Χρήσης'!F16)&lt;2,"n.a.",IF(('Αποτελέσματα Χρήσης'!F16)&gt;0,('Αποτελέσματα Χρήσης'!G16-'Αποτελέσματα Χρήσης'!F16)/('Αποτελέσματα Χρήσης'!F16),"n.a."))</x:f>
        <x:v>n.a.</x:v>
      </x:c>
      <x:c r="H10" s="36" t="str">
        <x:f>IF(COUNT('Αποτελέσματα Χρήσης'!H16,'Αποτελέσματα Χρήσης'!G16)&lt;2,"n.a.",IF(('Αποτελέσματα Χρήσης'!G16)&gt;0,('Αποτελέσματα Χρήσης'!H16-'Αποτελέσματα Χρήσης'!G16)/('Αποτελέσματα Χρήσης'!G16),"n.a."))</x:f>
        <x:v>n.a.</x:v>
      </x:c>
      <x:c r="I10" s="36" t="str">
        <x:f>IF(COUNT('Αποτελέσματα Χρήσης'!I16,'Αποτελέσματα Χρήσης'!H16)&lt;2,"n.a.",IF(('Αποτελέσματα Χρήσης'!H16)&gt;0,('Αποτελέσματα Χρήσης'!I16-'Αποτελέσματα Χρήσης'!H16)/('Αποτελέσματα Χρήσης'!H16),"n.a."))</x:f>
        <x:v>n.a.</x:v>
      </x:c>
      <x:c r="J10" s="2"/>
      <x:c r="K10" s="2" t="str">
        <x:v>Μη διαθέσιμο όταν η προηγούμενη τιμή είναι μηδενική ή αρνητική.</x:v>
      </x:c>
      <x:c r="L10" s="2"/>
      <x:c r="M10" s="2"/>
    </x:row>
    <x:row r="11" ht="23" customHeight="1">
      <x:c r="A11" s="1"/>
      <x:c r="B11" s="1"/>
      <x:c r="C11" s="20" t="str">
        <x:v>Ανάπτυξη EBITDA</x:v>
      </x:c>
      <x:c r="D11" s="21"/>
      <x:c r="E11" s="37" t="str">
        <x:f>IF(COUNT('Υπολογισμοί Κεφαλαίων'!E16,'Υπολογισμοί Κεφαλαίων'!D16)&lt;2,"n.a.",IF(('Υπολογισμοί Κεφαλαίων'!D16)&gt;0,('Υπολογισμοί Κεφαλαίων'!E16-'Υπολογισμοί Κεφαλαίων'!D16)/('Υπολογισμοί Κεφαλαίων'!D16),"n.a."))</x:f>
        <x:v>n.a.</x:v>
      </x:c>
      <x:c r="F11" s="37" t="str">
        <x:f>IF(COUNT('Υπολογισμοί Κεφαλαίων'!F16,'Υπολογισμοί Κεφαλαίων'!E16)&lt;2,"n.a.",IF(('Υπολογισμοί Κεφαλαίων'!E16)&gt;0,('Υπολογισμοί Κεφαλαίων'!F16-'Υπολογισμοί Κεφαλαίων'!E16)/('Υπολογισμοί Κεφαλαίων'!E16),"n.a."))</x:f>
        <x:v>n.a.</x:v>
      </x:c>
      <x:c r="G11" s="37" t="str">
        <x:f>IF(COUNT('Υπολογισμοί Κεφαλαίων'!G16,'Υπολογισμοί Κεφαλαίων'!F16)&lt;2,"n.a.",IF(('Υπολογισμοί Κεφαλαίων'!F16)&gt;0,('Υπολογισμοί Κεφαλαίων'!G16-'Υπολογισμοί Κεφαλαίων'!F16)/('Υπολογισμοί Κεφαλαίων'!F16),"n.a."))</x:f>
        <x:v>n.a.</x:v>
      </x:c>
      <x:c r="H11" s="37" t="str">
        <x:f>IF(COUNT('Υπολογισμοί Κεφαλαίων'!H16,'Υπολογισμοί Κεφαλαίων'!G16)&lt;2,"n.a.",IF(('Υπολογισμοί Κεφαλαίων'!G16)&gt;0,('Υπολογισμοί Κεφαλαίων'!H16-'Υπολογισμοί Κεφαλαίων'!G16)/('Υπολογισμοί Κεφαλαίων'!G16),"n.a."))</x:f>
        <x:v>n.a.</x:v>
      </x:c>
      <x:c r="I11" s="37" t="str">
        <x:f>IF(COUNT('Υπολογισμοί Κεφαλαίων'!I16,'Υπολογισμοί Κεφαλαίων'!H16)&lt;2,"n.a.",IF(('Υπολογισμοί Κεφαλαίων'!H16)&gt;0,('Υπολογισμοί Κεφαλαίων'!I16-'Υπολογισμοί Κεφαλαίων'!H16)/('Υπολογισμοί Κεφαλαίων'!H16),"n.a."))</x:f>
        <x:v>n.a.</x:v>
      </x:c>
      <x:c r="J11" s="2"/>
      <x:c r="K11" s="2" t="str">
        <x:v>Μη διαθέσιμο όταν η προηγούμενη τιμή είναι μηδενική ή αρνητική.</x:v>
      </x:c>
      <x:c r="L11" s="2"/>
      <x:c r="M11" s="2"/>
    </x:row>
    <x:row r="12" ht="23" customHeight="1">
      <x:c r="A12" s="1"/>
      <x:c r="B12" s="1"/>
      <x:c r="C12" s="20" t="str">
        <x:v>Ανάπτυξη καθαρών κερδών</x:v>
      </x:c>
      <x:c r="D12" s="21"/>
      <x:c r="E12" s="36" t="str">
        <x:f>IF(COUNT('Αποτελέσματα Χρήσης'!E28,'Αποτελέσματα Χρήσης'!D28)&lt;2,"n.a.",IF(('Αποτελέσματα Χρήσης'!D28)&gt;0,('Αποτελέσματα Χρήσης'!E28-'Αποτελέσματα Χρήσης'!D28)/('Αποτελέσματα Χρήσης'!D28),"n.a."))</x:f>
        <x:v>n.a.</x:v>
      </x:c>
      <x:c r="F12" s="36" t="str">
        <x:f>IF(COUNT('Αποτελέσματα Χρήσης'!F28,'Αποτελέσματα Χρήσης'!E28)&lt;2,"n.a.",IF(('Αποτελέσματα Χρήσης'!E28)&gt;0,('Αποτελέσματα Χρήσης'!F28-'Αποτελέσματα Χρήσης'!E28)/('Αποτελέσματα Χρήσης'!E28),"n.a."))</x:f>
        <x:v>n.a.</x:v>
      </x:c>
      <x:c r="G12" s="36" t="str">
        <x:f>IF(COUNT('Αποτελέσματα Χρήσης'!G28,'Αποτελέσματα Χρήσης'!F28)&lt;2,"n.a.",IF(('Αποτελέσματα Χρήσης'!F28)&gt;0,('Αποτελέσματα Χρήσης'!G28-'Αποτελέσματα Χρήσης'!F28)/('Αποτελέσματα Χρήσης'!F28),"n.a."))</x:f>
        <x:v>n.a.</x:v>
      </x:c>
      <x:c r="H12" s="36" t="str">
        <x:f>IF(COUNT('Αποτελέσματα Χρήσης'!H28,'Αποτελέσματα Χρήσης'!G28)&lt;2,"n.a.",IF(('Αποτελέσματα Χρήσης'!G28)&gt;0,('Αποτελέσματα Χρήσης'!H28-'Αποτελέσματα Χρήσης'!G28)/('Αποτελέσματα Χρήσης'!G28),"n.a."))</x:f>
        <x:v>n.a.</x:v>
      </x:c>
      <x:c r="I12" s="36" t="str">
        <x:f>IF(COUNT('Αποτελέσματα Χρήσης'!I28,'Αποτελέσματα Χρήσης'!H28)&lt;2,"n.a.",IF(('Αποτελέσματα Χρήσης'!H28)&gt;0,('Αποτελέσματα Χρήσης'!I28-'Αποτελέσματα Χρήσης'!H28)/('Αποτελέσματα Χρήσης'!H28),"n.a."))</x:f>
        <x:v>n.a.</x:v>
      </x:c>
      <x:c r="J12" s="2"/>
      <x:c r="K12" s="2" t="str">
        <x:v>Μη διαθέσιμο όταν η προηγούμενη τιμή είναι μηδενική ή αρνητική.</x:v>
      </x:c>
      <x:c r="L12" s="2"/>
      <x:c r="M12" s="2"/>
    </x:row>
    <x:row r="13" ht="23" customHeight="1">
      <x:c r="A13" s="1"/>
      <x:c r="B13" s="1"/>
      <x:c r="C13" s="20" t="str">
        <x:v>Ανάπτυξη κερδών ανά μετοχή</x:v>
      </x:c>
      <x:c r="D13" s="21"/>
      <x:c r="E13" s="37" t="str">
        <x:f>IF(COUNT('Αποτίμηση Μετοχής'!E8,'Αποτίμηση Μετοχής'!D8)&lt;2,"n.a.",IF(('Αποτίμηση Μετοχής'!D8)&gt;0,('Αποτίμηση Μετοχής'!E8-'Αποτίμηση Μετοχής'!D8)/('Αποτίμηση Μετοχής'!D8),"n.a."))</x:f>
        <x:v>n.a.</x:v>
      </x:c>
      <x:c r="F13" s="37" t="str">
        <x:f>IF(COUNT('Αποτίμηση Μετοχής'!F8,'Αποτίμηση Μετοχής'!E8)&lt;2,"n.a.",IF(('Αποτίμηση Μετοχής'!E8)&gt;0,('Αποτίμηση Μετοχής'!F8-'Αποτίμηση Μετοχής'!E8)/('Αποτίμηση Μετοχής'!E8),"n.a."))</x:f>
        <x:v>n.a.</x:v>
      </x:c>
      <x:c r="G13" s="37" t="str">
        <x:f>IF(COUNT('Αποτίμηση Μετοχής'!G8,'Αποτίμηση Μετοχής'!F8)&lt;2,"n.a.",IF(('Αποτίμηση Μετοχής'!F8)&gt;0,('Αποτίμηση Μετοχής'!G8-'Αποτίμηση Μετοχής'!F8)/('Αποτίμηση Μετοχής'!F8),"n.a."))</x:f>
        <x:v>n.a.</x:v>
      </x:c>
      <x:c r="H13" s="37" t="str">
        <x:f>IF(COUNT('Αποτίμηση Μετοχής'!H8,'Αποτίμηση Μετοχής'!G8)&lt;2,"n.a.",IF(('Αποτίμηση Μετοχής'!G8)&gt;0,('Αποτίμηση Μετοχής'!H8-'Αποτίμηση Μετοχής'!G8)/('Αποτίμηση Μετοχής'!G8),"n.a."))</x:f>
        <x:v>n.a.</x:v>
      </x:c>
      <x:c r="I13" s="37" t="str">
        <x:f>IF(COUNT('Αποτίμηση Μετοχής'!I8,'Αποτίμηση Μετοχής'!H8)&lt;2,"n.a.",IF(('Αποτίμηση Μετοχής'!H8)&gt;0,('Αποτίμηση Μετοχής'!I8-'Αποτίμηση Μετοχής'!H8)/('Αποτίμηση Μετοχής'!H8),"n.a."))</x:f>
        <x:v>n.a.</x:v>
      </x:c>
      <x:c r="J13" s="2"/>
      <x:c r="K13" s="2" t="str">
        <x:v>Μη διαθέσιμο όταν η προηγούμενη τιμή είναι μηδενική ή αρνητική.</x:v>
      </x:c>
      <x:c r="L13" s="2"/>
      <x:c r="M13" s="2"/>
    </x:row>
    <x:row r="14" ht="23" customHeight="1">
      <x:c r="A14" s="1"/>
      <x:c r="B14" s="1"/>
      <x:c r="C14" s="20" t="str">
        <x:v>Ανάπτυξη μερίσματος ανά μετοχή</x:v>
      </x:c>
      <x:c r="D14" s="21"/>
      <x:c r="E14" s="36" t="str">
        <x:f>IF(COUNT('Χρηματιστηριακά Δεδομένα'!E12,'Χρηματιστηριακά Δεδομένα'!D12)&lt;2,"n.a.",IF(('Χρηματιστηριακά Δεδομένα'!D12)&gt;0,('Χρηματιστηριακά Δεδομένα'!E12-'Χρηματιστηριακά Δεδομένα'!D12)/('Χρηματιστηριακά Δεδομένα'!D12),"n.a."))</x:f>
        <x:v>n.a.</x:v>
      </x:c>
      <x:c r="F14" s="36" t="str">
        <x:f>IF(COUNT('Χρηματιστηριακά Δεδομένα'!F12,'Χρηματιστηριακά Δεδομένα'!E12)&lt;2,"n.a.",IF(('Χρηματιστηριακά Δεδομένα'!E12)&gt;0,('Χρηματιστηριακά Δεδομένα'!F12-'Χρηματιστηριακά Δεδομένα'!E12)/('Χρηματιστηριακά Δεδομένα'!E12),"n.a."))</x:f>
        <x:v>n.a.</x:v>
      </x:c>
      <x:c r="G14" s="36" t="str">
        <x:f>IF(COUNT('Χρηματιστηριακά Δεδομένα'!G12,'Χρηματιστηριακά Δεδομένα'!F12)&lt;2,"n.a.",IF(('Χρηματιστηριακά Δεδομένα'!F12)&gt;0,('Χρηματιστηριακά Δεδομένα'!G12-'Χρηματιστηριακά Δεδομένα'!F12)/('Χρηματιστηριακά Δεδομένα'!F12),"n.a."))</x:f>
        <x:v>n.a.</x:v>
      </x:c>
      <x:c r="H14" s="36" t="str">
        <x:f>IF(COUNT('Χρηματιστηριακά Δεδομένα'!H12,'Χρηματιστηριακά Δεδομένα'!G12)&lt;2,"n.a.",IF(('Χρηματιστηριακά Δεδομένα'!G12)&gt;0,('Χρηματιστηριακά Δεδομένα'!H12-'Χρηματιστηριακά Δεδομένα'!G12)/('Χρηματιστηριακά Δεδομένα'!G12),"n.a."))</x:f>
        <x:v>n.a.</x:v>
      </x:c>
      <x:c r="I14" s="36" t="str">
        <x:f>IF(COUNT('Χρηματιστηριακά Δεδομένα'!I12,'Χρηματιστηριακά Δεδομένα'!H12)&lt;2,"n.a.",IF(('Χρηματιστηριακά Δεδομένα'!H12)&gt;0,('Χρηματιστηριακά Δεδομένα'!I12-'Χρηματιστηριακά Δεδομένα'!H12)/('Χρηματιστηριακά Δεδομένα'!H12),"n.a."))</x:f>
        <x:v>n.a.</x:v>
      </x:c>
      <x:c r="J14" s="2"/>
      <x:c r="K14" s="2" t="str">
        <x:v>Μη διαθέσιμο όταν η προηγούμενη τιμή είναι μηδενική ή αρνητική.</x:v>
      </x:c>
      <x:c r="L14" s="2"/>
      <x:c r="M14" s="2"/>
    </x:row>
    <x:row r="15" ht="23" customHeight="1">
      <x:c r="A15" s="1"/>
      <x:c r="B15" s="1"/>
      <x:c r="C15" s="20" t="str">
        <x:v>Ανάπτυξη ενεργητικού</x:v>
      </x:c>
      <x:c r="D15" s="21"/>
      <x:c r="E15" s="37" t="str">
        <x:f>IF(COUNT('Ισολογισμός'!E29,'Ισολογισμός'!D29)&lt;2,"n.a.",IF(('Ισολογισμός'!D29)&gt;0,('Ισολογισμός'!E29-'Ισολογισμός'!D29)/('Ισολογισμός'!D29),"n.a."))</x:f>
        <x:v>n.a.</x:v>
      </x:c>
      <x:c r="F15" s="37" t="str">
        <x:f>IF(COUNT('Ισολογισμός'!F29,'Ισολογισμός'!E29)&lt;2,"n.a.",IF(('Ισολογισμός'!E29)&gt;0,('Ισολογισμός'!F29-'Ισολογισμός'!E29)/('Ισολογισμός'!E29),"n.a."))</x:f>
        <x:v>n.a.</x:v>
      </x:c>
      <x:c r="G15" s="37" t="str">
        <x:f>IF(COUNT('Ισολογισμός'!G29,'Ισολογισμός'!F29)&lt;2,"n.a.",IF(('Ισολογισμός'!F29)&gt;0,('Ισολογισμός'!G29-'Ισολογισμός'!F29)/('Ισολογισμός'!F29),"n.a."))</x:f>
        <x:v>n.a.</x:v>
      </x:c>
      <x:c r="H15" s="37" t="str">
        <x:f>IF(COUNT('Ισολογισμός'!H29,'Ισολογισμός'!G29)&lt;2,"n.a.",IF(('Ισολογισμός'!G29)&gt;0,('Ισολογισμός'!H29-'Ισολογισμός'!G29)/('Ισολογισμός'!G29),"n.a."))</x:f>
        <x:v>n.a.</x:v>
      </x:c>
      <x:c r="I15" s="37" t="str">
        <x:f>IF(COUNT('Ισολογισμός'!I29,'Ισολογισμός'!H29)&lt;2,"n.a.",IF(('Ισολογισμός'!H29)&gt;0,('Ισολογισμός'!I29-'Ισολογισμός'!H29)/('Ισολογισμός'!H29),"n.a."))</x:f>
        <x:v>n.a.</x:v>
      </x:c>
      <x:c r="J15" s="2"/>
      <x:c r="K15" s="2" t="str">
        <x:v>Μη διαθέσιμο όταν η προηγούμενη τιμή είναι μηδενική ή αρνητική.</x:v>
      </x:c>
      <x:c r="L15" s="2"/>
      <x:c r="M15" s="2"/>
    </x:row>
    <x:row r="16" ht="23" customHeight="1">
      <x:c r="A16" s="1"/>
      <x:c r="B16" s="1"/>
      <x:c r="C16" s="20" t="str">
        <x:v>Ανάπτυξη ιδίων κεφαλαίων</x:v>
      </x:c>
      <x:c r="D16" s="21"/>
      <x:c r="E16" s="36" t="str">
        <x:f>IF(COUNT('Ισολογισμός'!E52,'Ισολογισμός'!D52)&lt;2,"n.a.",IF(('Ισολογισμός'!D52)&gt;0,('Ισολογισμός'!E52-'Ισολογισμός'!D52)/('Ισολογισμός'!D52),"n.a."))</x:f>
        <x:v>n.a.</x:v>
      </x:c>
      <x:c r="F16" s="36" t="str">
        <x:f>IF(COUNT('Ισολογισμός'!F52,'Ισολογισμός'!E52)&lt;2,"n.a.",IF(('Ισολογισμός'!E52)&gt;0,('Ισολογισμός'!F52-'Ισολογισμός'!E52)/('Ισολογισμός'!E52),"n.a."))</x:f>
        <x:v>n.a.</x:v>
      </x:c>
      <x:c r="G16" s="36" t="str">
        <x:f>IF(COUNT('Ισολογισμός'!G52,'Ισολογισμός'!F52)&lt;2,"n.a.",IF(('Ισολογισμός'!F52)&gt;0,('Ισολογισμός'!G52-'Ισολογισμός'!F52)/('Ισολογισμός'!F52),"n.a."))</x:f>
        <x:v>n.a.</x:v>
      </x:c>
      <x:c r="H16" s="36" t="str">
        <x:f>IF(COUNT('Ισολογισμός'!H52,'Ισολογισμός'!G52)&lt;2,"n.a.",IF(('Ισολογισμός'!G52)&gt;0,('Ισολογισμός'!H52-'Ισολογισμός'!G52)/('Ισολογισμός'!G52),"n.a."))</x:f>
        <x:v>n.a.</x:v>
      </x:c>
      <x:c r="I16" s="36" t="str">
        <x:f>IF(COUNT('Ισολογισμός'!I52,'Ισολογισμός'!H52)&lt;2,"n.a.",IF(('Ισολογισμός'!H52)&gt;0,('Ισολογισμός'!I52-'Ισολογισμός'!H52)/('Ισολογισμός'!H52),"n.a."))</x:f>
        <x:v>n.a.</x:v>
      </x:c>
      <x:c r="J16" s="2"/>
      <x:c r="K16" s="2" t="str">
        <x:v>Μη διαθέσιμο όταν η προηγούμενη τιμή είναι μηδενική ή αρνητική.</x:v>
      </x:c>
      <x:c r="L16" s="2"/>
      <x:c r="M16" s="2"/>
    </x:row>
    <x:row r="17" ht="23" customHeight="1">
      <x:c r="A17" s="1"/>
      <x:c r="B17" s="1"/>
      <x:c r="C17" s="20" t="str">
        <x:v>Ανάπτυξη λειτουργικών ροών</x:v>
      </x:c>
      <x:c r="D17" s="21"/>
      <x:c r="E17" s="37" t="str">
        <x:f>IF(COUNT('Κατάσταση Ταμειακών Ροών'!E18,'Κατάσταση Ταμειακών Ροών'!D18)&lt;2,"n.a.",IF(('Κατάσταση Ταμειακών Ροών'!D18)&gt;0,('Κατάσταση Ταμειακών Ροών'!E18-'Κατάσταση Ταμειακών Ροών'!D18)/('Κατάσταση Ταμειακών Ροών'!D18),"n.a."))</x:f>
        <x:v>n.a.</x:v>
      </x:c>
      <x:c r="F17" s="37" t="str">
        <x:f>IF(COUNT('Κατάσταση Ταμειακών Ροών'!F18,'Κατάσταση Ταμειακών Ροών'!E18)&lt;2,"n.a.",IF(('Κατάσταση Ταμειακών Ροών'!E18)&gt;0,('Κατάσταση Ταμειακών Ροών'!F18-'Κατάσταση Ταμειακών Ροών'!E18)/('Κατάσταση Ταμειακών Ροών'!E18),"n.a."))</x:f>
        <x:v>n.a.</x:v>
      </x:c>
      <x:c r="G17" s="37" t="str">
        <x:f>IF(COUNT('Κατάσταση Ταμειακών Ροών'!G18,'Κατάσταση Ταμειακών Ροών'!F18)&lt;2,"n.a.",IF(('Κατάσταση Ταμειακών Ροών'!F18)&gt;0,('Κατάσταση Ταμειακών Ροών'!G18-'Κατάσταση Ταμειακών Ροών'!F18)/('Κατάσταση Ταμειακών Ροών'!F18),"n.a."))</x:f>
        <x:v>n.a.</x:v>
      </x:c>
      <x:c r="H17" s="37" t="str">
        <x:f>IF(COUNT('Κατάσταση Ταμειακών Ροών'!H18,'Κατάσταση Ταμειακών Ροών'!G18)&lt;2,"n.a.",IF(('Κατάσταση Ταμειακών Ροών'!G18)&gt;0,('Κατάσταση Ταμειακών Ροών'!H18-'Κατάσταση Ταμειακών Ροών'!G18)/('Κατάσταση Ταμειακών Ροών'!G18),"n.a."))</x:f>
        <x:v>n.a.</x:v>
      </x:c>
      <x:c r="I17" s="37" t="str">
        <x:f>IF(COUNT('Κατάσταση Ταμειακών Ροών'!I18,'Κατάσταση Ταμειακών Ροών'!H18)&lt;2,"n.a.",IF(('Κατάσταση Ταμειακών Ροών'!H18)&gt;0,('Κατάσταση Ταμειακών Ροών'!I18-'Κατάσταση Ταμειακών Ροών'!H18)/('Κατάσταση Ταμειακών Ροών'!H18),"n.a."))</x:f>
        <x:v>n.a.</x:v>
      </x:c>
      <x:c r="J17" s="2"/>
      <x:c r="K17" s="2" t="str">
        <x:v>Μη διαθέσιμο όταν η προηγούμενη τιμή είναι μηδενική ή αρνητική.</x:v>
      </x:c>
      <x:c r="L17" s="2"/>
      <x:c r="M17" s="2"/>
    </x:row>
    <x:row r="18" ht="23" customHeight="1">
      <x:c r="A18" s="1"/>
      <x:c r="B18" s="1"/>
      <x:c r="C18" s="20" t="str">
        <x:v>Ανάπτυξη ελεύθερων ροών</x:v>
      </x:c>
      <x:c r="D18" s="21"/>
      <x:c r="E18" s="36" t="str">
        <x:f>IF(COUNT('Υπολογισμοί Κεφαλαίων'!E19,'Υπολογισμοί Κεφαλαίων'!D19)&lt;2,"n.a.",IF(('Υπολογισμοί Κεφαλαίων'!D19)&gt;0,('Υπολογισμοί Κεφαλαίων'!E19-'Υπολογισμοί Κεφαλαίων'!D19)/('Υπολογισμοί Κεφαλαίων'!D19),"n.a."))</x:f>
        <x:v>n.a.</x:v>
      </x:c>
      <x:c r="F18" s="36" t="str">
        <x:f>IF(COUNT('Υπολογισμοί Κεφαλαίων'!F19,'Υπολογισμοί Κεφαλαίων'!E19)&lt;2,"n.a.",IF(('Υπολογισμοί Κεφαλαίων'!E19)&gt;0,('Υπολογισμοί Κεφαλαίων'!F19-'Υπολογισμοί Κεφαλαίων'!E19)/('Υπολογισμοί Κεφαλαίων'!E19),"n.a."))</x:f>
        <x:v>n.a.</x:v>
      </x:c>
      <x:c r="G18" s="36" t="str">
        <x:f>IF(COUNT('Υπολογισμοί Κεφαλαίων'!G19,'Υπολογισμοί Κεφαλαίων'!F19)&lt;2,"n.a.",IF(('Υπολογισμοί Κεφαλαίων'!F19)&gt;0,('Υπολογισμοί Κεφαλαίων'!G19-'Υπολογισμοί Κεφαλαίων'!F19)/('Υπολογισμοί Κεφαλαίων'!F19),"n.a."))</x:f>
        <x:v>n.a.</x:v>
      </x:c>
      <x:c r="H18" s="36" t="str">
        <x:f>IF(COUNT('Υπολογισμοί Κεφαλαίων'!H19,'Υπολογισμοί Κεφαλαίων'!G19)&lt;2,"n.a.",IF(('Υπολογισμοί Κεφαλαίων'!G19)&gt;0,('Υπολογισμοί Κεφαλαίων'!H19-'Υπολογισμοί Κεφαλαίων'!G19)/('Υπολογισμοί Κεφαλαίων'!G19),"n.a."))</x:f>
        <x:v>n.a.</x:v>
      </x:c>
      <x:c r="I18" s="36" t="str">
        <x:f>IF(COUNT('Υπολογισμοί Κεφαλαίων'!I19,'Υπολογισμοί Κεφαλαίων'!H19)&lt;2,"n.a.",IF(('Υπολογισμοί Κεφαλαίων'!H19)&gt;0,('Υπολογισμοί Κεφαλαίων'!I19-'Υπολογισμοί Κεφαλαίων'!H19)/('Υπολογισμοί Κεφαλαίων'!H19),"n.a."))</x:f>
        <x:v>n.a.</x:v>
      </x:c>
      <x:c r="J18" s="2"/>
      <x:c r="K18" s="2" t="str">
        <x:v>Μη διαθέσιμο όταν η προηγούμενη τιμή είναι μηδενική ή αρνητική.</x:v>
      </x:c>
      <x:c r="L18" s="2"/>
      <x:c r="M18" s="2"/>
    </x:row>
    <x:row r="19" ht="25" customHeight="1">
      <x:c r="A19" s="1"/>
      <x:c r="B19" s="1"/>
      <x:c r="C19" s="34" t="str">
        <x:v>Έτος βάσης = 100</x:v>
      </x:c>
      <x:c r="D19" s="34"/>
      <x:c r="E19" s="34"/>
      <x:c r="F19" s="34"/>
      <x:c r="G19" s="34"/>
      <x:c r="H19" s="34"/>
      <x:c r="I19" s="34"/>
      <x:c r="J19" s="2"/>
      <x:c r="K19" s="2"/>
      <x:c r="L19" s="2"/>
      <x:c r="M19" s="2"/>
    </x:row>
    <x:row r="20" ht="23" customHeight="1">
      <x:c r="A20" s="1"/>
      <x:c r="B20" s="1"/>
      <x:c r="C20" s="2" t="str">
        <x:v>Δείκτης πωλήσεων</x:v>
      </x:c>
      <x:c r="D20" s="15"/>
      <x:c r="E20" s="39" t="str">
        <x:f>IF(COUNT('Αποτελέσματα Χρήσης'!E8,'Αποτελέσματα Χρήσης'!E8)&lt;2,"n.a.",IF(('Αποτελέσματα Χρήσης'!E8)&gt;0,(100*'Αποτελέσματα Χρήσης'!E8)/('Αποτελέσματα Χρήσης'!E8),"n.a."))</x:f>
        <x:v>n.a.</x:v>
      </x:c>
      <x:c r="F20" s="39" t="str">
        <x:f>IF(COUNT('Αποτελέσματα Χρήσης'!F8,'Αποτελέσματα Χρήσης'!E8)&lt;2,"n.a.",IF(('Αποτελέσματα Χρήσης'!E8)&gt;0,(100*'Αποτελέσματα Χρήσης'!F8)/('Αποτελέσματα Χρήσης'!E8),"n.a."))</x:f>
        <x:v>n.a.</x:v>
      </x:c>
      <x:c r="G20" s="39" t="str">
        <x:f>IF(COUNT('Αποτελέσματα Χρήσης'!G8,'Αποτελέσματα Χρήσης'!E8)&lt;2,"n.a.",IF(('Αποτελέσματα Χρήσης'!E8)&gt;0,(100*'Αποτελέσματα Χρήσης'!G8)/('Αποτελέσματα Χρήσης'!E8),"n.a."))</x:f>
        <x:v>n.a.</x:v>
      </x:c>
      <x:c r="H20" s="39" t="str">
        <x:f>IF(COUNT('Αποτελέσματα Χρήσης'!H8,'Αποτελέσματα Χρήσης'!E8)&lt;2,"n.a.",IF(('Αποτελέσματα Χρήσης'!E8)&gt;0,(100*'Αποτελέσματα Χρήσης'!H8)/('Αποτελέσματα Χρήσης'!E8),"n.a."))</x:f>
        <x:v>n.a.</x:v>
      </x:c>
      <x:c r="I20" s="39" t="str">
        <x:f>IF(COUNT('Αποτελέσματα Χρήσης'!I8,'Αποτελέσματα Χρήσης'!E8)&lt;2,"n.a.",IF(('Αποτελέσματα Χρήσης'!E8)&gt;0,(100*'Αποτελέσματα Χρήσης'!I8)/('Αποτελέσματα Χρήσης'!E8),"n.a."))</x:f>
        <x:v>n.a.</x:v>
      </x:c>
      <x:c r="J20" s="2"/>
      <x:c r="K20" s="2" t="str">
        <x:v>Βάση είναι το πρώτο εμφανιζόμενο έτος ανάλυσης.</x:v>
      </x:c>
      <x:c r="L20" s="2"/>
      <x:c r="M20" s="2"/>
    </x:row>
    <x:row r="21" ht="23" customHeight="1">
      <x:c r="A21" s="1"/>
      <x:c r="B21" s="1"/>
      <x:c r="C21" s="2" t="str">
        <x:v>Δείκτης καθαρών κερδών</x:v>
      </x:c>
      <x:c r="D21" s="15"/>
      <x:c r="E21" s="43" t="str">
        <x:f>IF(COUNT('Αποτελέσματα Χρήσης'!E28,'Αποτελέσματα Χρήσης'!E28)&lt;2,"n.a.",IF(('Αποτελέσματα Χρήσης'!E28)&gt;0,(100*'Αποτελέσματα Χρήσης'!E28)/('Αποτελέσματα Χρήσης'!E28),"n.a."))</x:f>
        <x:v>n.a.</x:v>
      </x:c>
      <x:c r="F21" s="43" t="str">
        <x:f>IF(COUNT('Αποτελέσματα Χρήσης'!F28,'Αποτελέσματα Χρήσης'!E28)&lt;2,"n.a.",IF(('Αποτελέσματα Χρήσης'!E28)&gt;0,(100*'Αποτελέσματα Χρήσης'!F28)/('Αποτελέσματα Χρήσης'!E28),"n.a."))</x:f>
        <x:v>n.a.</x:v>
      </x:c>
      <x:c r="G21" s="43" t="str">
        <x:f>IF(COUNT('Αποτελέσματα Χρήσης'!G28,'Αποτελέσματα Χρήσης'!E28)&lt;2,"n.a.",IF(('Αποτελέσματα Χρήσης'!E28)&gt;0,(100*'Αποτελέσματα Χρήσης'!G28)/('Αποτελέσματα Χρήσης'!E28),"n.a."))</x:f>
        <x:v>n.a.</x:v>
      </x:c>
      <x:c r="H21" s="43" t="str">
        <x:f>IF(COUNT('Αποτελέσματα Χρήσης'!H28,'Αποτελέσματα Χρήσης'!E28)&lt;2,"n.a.",IF(('Αποτελέσματα Χρήσης'!E28)&gt;0,(100*'Αποτελέσματα Χρήσης'!H28)/('Αποτελέσματα Χρήσης'!E28),"n.a."))</x:f>
        <x:v>n.a.</x:v>
      </x:c>
      <x:c r="I21" s="43" t="str">
        <x:f>IF(COUNT('Αποτελέσματα Χρήσης'!I28,'Αποτελέσματα Χρήσης'!E28)&lt;2,"n.a.",IF(('Αποτελέσματα Χρήσης'!E28)&gt;0,(100*'Αποτελέσματα Χρήσης'!I28)/('Αποτελέσματα Χρήσης'!E28),"n.a."))</x:f>
        <x:v>n.a.</x:v>
      </x:c>
      <x:c r="J21" s="2"/>
      <x:c r="K21" s="2" t="str">
        <x:v>Βάση είναι το πρώτο εμφανιζόμενο έτος ανάλυσης.</x:v>
      </x:c>
      <x:c r="L21" s="2"/>
      <x:c r="M21" s="2"/>
    </x:row>
    <x:row r="22" ht="23" customHeight="1">
      <x:c r="A22" s="1"/>
      <x:c r="B22" s="1"/>
      <x:c r="C22" s="2" t="str">
        <x:v>Δείκτης ενεργητικού</x:v>
      </x:c>
      <x:c r="D22" s="15"/>
      <x:c r="E22" s="39" t="str">
        <x:f>IF(COUNT('Ισολογισμός'!E29,'Ισολογισμός'!E29)&lt;2,"n.a.",IF(('Ισολογισμός'!E29)&gt;0,(100*'Ισολογισμός'!E29)/('Ισολογισμός'!E29),"n.a."))</x:f>
        <x:v>n.a.</x:v>
      </x:c>
      <x:c r="F22" s="39" t="str">
        <x:f>IF(COUNT('Ισολογισμός'!F29,'Ισολογισμός'!E29)&lt;2,"n.a.",IF(('Ισολογισμός'!E29)&gt;0,(100*'Ισολογισμός'!F29)/('Ισολογισμός'!E29),"n.a."))</x:f>
        <x:v>n.a.</x:v>
      </x:c>
      <x:c r="G22" s="39" t="str">
        <x:f>IF(COUNT('Ισολογισμός'!G29,'Ισολογισμός'!E29)&lt;2,"n.a.",IF(('Ισολογισμός'!E29)&gt;0,(100*'Ισολογισμός'!G29)/('Ισολογισμός'!E29),"n.a."))</x:f>
        <x:v>n.a.</x:v>
      </x:c>
      <x:c r="H22" s="39" t="str">
        <x:f>IF(COUNT('Ισολογισμός'!H29,'Ισολογισμός'!E29)&lt;2,"n.a.",IF(('Ισολογισμός'!E29)&gt;0,(100*'Ισολογισμός'!H29)/('Ισολογισμός'!E29),"n.a."))</x:f>
        <x:v>n.a.</x:v>
      </x:c>
      <x:c r="I22" s="39" t="str">
        <x:f>IF(COUNT('Ισολογισμός'!I29,'Ισολογισμός'!E29)&lt;2,"n.a.",IF(('Ισολογισμός'!E29)&gt;0,(100*'Ισολογισμός'!I29)/('Ισολογισμός'!E29),"n.a."))</x:f>
        <x:v>n.a.</x:v>
      </x:c>
      <x:c r="J22" s="2"/>
      <x:c r="K22" s="2" t="str">
        <x:v>Βάση είναι το πρώτο εμφανιζόμενο έτος ανάλυσης.</x:v>
      </x:c>
      <x:c r="L22" s="2"/>
      <x:c r="M22" s="2"/>
    </x:row>
    <x:row r="23" ht="23" customHeight="1">
      <x:c r="A23" s="1"/>
      <x:c r="B23" s="1"/>
      <x:c r="C23" s="20" t="str">
        <x:v>Σύνθετη ετήσια ανάπτυξη πωλήσεων από το πρώτο έτος</x:v>
      </x:c>
      <x:c r="D23" s="21"/>
      <x:c r="E23" s="37" t="str">
        <x:f>IF(COUNT('Αποτελέσματα Χρήσης'!E8,'Αποτελέσματα Χρήσης'!E8,E$5,E$5)&lt;4,"n.a.",IF(AND('Αποτελέσματα Χρήσης'!E8&gt;0,'Αποτελέσματα Χρήσης'!E8&gt;0,E$5&gt;E$5),('Αποτελέσματα Χρήσης'!E8/'Αποτελέσματα Χρήσης'!E8)^(1/(E$5-E$5))-1,"n.a."))</x:f>
        <x:v>n.a.</x:v>
      </x:c>
      <x:c r="F23" s="37" t="str">
        <x:f>IF(COUNT('Αποτελέσματα Χρήσης'!F8,'Αποτελέσματα Χρήσης'!E8,F$5,E$5)&lt;4,"n.a.",IF(AND('Αποτελέσματα Χρήσης'!F8&gt;0,'Αποτελέσματα Χρήσης'!E8&gt;0,F$5&gt;E$5),('Αποτελέσματα Χρήσης'!F8/'Αποτελέσματα Χρήσης'!E8)^(1/(F$5-E$5))-1,"n.a."))</x:f>
        <x:v>n.a.</x:v>
      </x:c>
      <x:c r="G23" s="37" t="str">
        <x:f>IF(COUNT('Αποτελέσματα Χρήσης'!G8,'Αποτελέσματα Χρήσης'!E8,G$5,E$5)&lt;4,"n.a.",IF(AND('Αποτελέσματα Χρήσης'!G8&gt;0,'Αποτελέσματα Χρήσης'!E8&gt;0,G$5&gt;E$5),('Αποτελέσματα Χρήσης'!G8/'Αποτελέσματα Χρήσης'!E8)^(1/(G$5-E$5))-1,"n.a."))</x:f>
        <x:v>n.a.</x:v>
      </x:c>
      <x:c r="H23" s="37" t="str">
        <x:f>IF(COUNT('Αποτελέσματα Χρήσης'!H8,'Αποτελέσματα Χρήσης'!E8,H$5,E$5)&lt;4,"n.a.",IF(AND('Αποτελέσματα Χρήσης'!H8&gt;0,'Αποτελέσματα Χρήσης'!E8&gt;0,H$5&gt;E$5),('Αποτελέσματα Χρήσης'!H8/'Αποτελέσματα Χρήσης'!E8)^(1/(H$5-E$5))-1,"n.a."))</x:f>
        <x:v>n.a.</x:v>
      </x:c>
      <x:c r="I23" s="37" t="str">
        <x:f>IF(COUNT('Αποτελέσματα Χρήσης'!I8,'Αποτελέσματα Χρήσης'!E8,I$5,E$5)&lt;4,"n.a.",IF(AND('Αποτελέσματα Χρήσης'!I8&gt;0,'Αποτελέσματα Χρήσης'!E8&gt;0,I$5&gt;E$5),('Αποτελέσματα Χρήσης'!I8/'Αποτελέσματα Χρήσης'!E8)^(1/(I$5-E$5))-1,"n.a."))</x:f>
        <x:v>n.a.</x:v>
      </x:c>
      <x:c r="J23" s="2"/>
      <x:c r="K23" s="2" t="str">
        <x:v>Απαιτεί θετικές αρχική και τελική τιμή και τουλάχιστον ένα έτος.</x:v>
      </x:c>
      <x:c r="L23" s="2"/>
      <x:c r="M23" s="2"/>
    </x:row>
    <x:row r="24" ht="23" customHeight="1">
      <x:c r="A24" s="1"/>
      <x:c r="B24" s="1"/>
      <x:c r="C24" s="20" t="str">
        <x:v>Σύνθετη ετήσια ανάπτυξη κερδών ανά μετοχή από το πρώτο έτος</x:v>
      </x:c>
      <x:c r="D24" s="21"/>
      <x:c r="E24" s="36" t="str">
        <x:f>IF(COUNT('Αποτίμηση Μετοχής'!E8,'Αποτίμηση Μετοχής'!E8,E$5,E$5)&lt;4,"n.a.",IF(AND('Αποτίμηση Μετοχής'!E8&gt;0,'Αποτίμηση Μετοχής'!E8&gt;0,E$5&gt;E$5),('Αποτίμηση Μετοχής'!E8/'Αποτίμηση Μετοχής'!E8)^(1/(E$5-E$5))-1,"n.a."))</x:f>
        <x:v>n.a.</x:v>
      </x:c>
      <x:c r="F24" s="36" t="str">
        <x:f>IF(COUNT('Αποτίμηση Μετοχής'!F8,'Αποτίμηση Μετοχής'!E8,F$5,E$5)&lt;4,"n.a.",IF(AND('Αποτίμηση Μετοχής'!F8&gt;0,'Αποτίμηση Μετοχής'!E8&gt;0,F$5&gt;E$5),('Αποτίμηση Μετοχής'!F8/'Αποτίμηση Μετοχής'!E8)^(1/(F$5-E$5))-1,"n.a."))</x:f>
        <x:v>n.a.</x:v>
      </x:c>
      <x:c r="G24" s="36" t="str">
        <x:f>IF(COUNT('Αποτίμηση Μετοχής'!G8,'Αποτίμηση Μετοχής'!E8,G$5,E$5)&lt;4,"n.a.",IF(AND('Αποτίμηση Μετοχής'!G8&gt;0,'Αποτίμηση Μετοχής'!E8&gt;0,G$5&gt;E$5),('Αποτίμηση Μετοχής'!G8/'Αποτίμηση Μετοχής'!E8)^(1/(G$5-E$5))-1,"n.a."))</x:f>
        <x:v>n.a.</x:v>
      </x:c>
      <x:c r="H24" s="36" t="str">
        <x:f>IF(COUNT('Αποτίμηση Μετοχής'!H8,'Αποτίμηση Μετοχής'!E8,H$5,E$5)&lt;4,"n.a.",IF(AND('Αποτίμηση Μετοχής'!H8&gt;0,'Αποτίμηση Μετοχής'!E8&gt;0,H$5&gt;E$5),('Αποτίμηση Μετοχής'!H8/'Αποτίμηση Μετοχής'!E8)^(1/(H$5-E$5))-1,"n.a."))</x:f>
        <x:v>n.a.</x:v>
      </x:c>
      <x:c r="I24" s="36" t="str">
        <x:f>IF(COUNT('Αποτίμηση Μετοχής'!I8,'Αποτίμηση Μετοχής'!E8,I$5,E$5)&lt;4,"n.a.",IF(AND('Αποτίμηση Μετοχής'!I8&gt;0,'Αποτίμηση Μετοχής'!E8&gt;0,I$5&gt;E$5),('Αποτίμηση Μετοχής'!I8/'Αποτίμηση Μετοχής'!E8)^(1/(I$5-E$5))-1,"n.a."))</x:f>
        <x:v>n.a.</x:v>
      </x:c>
      <x:c r="J24" s="2"/>
      <x:c r="K24" s="2" t="str">
        <x:v>Απαιτεί θετικές αρχική και τελική τιμή και τουλάχιστον ένα έτος.</x:v>
      </x:c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Αποτίμηση Μετοχής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Στοιχεία ανά μετοχή, πολλαπλασιαστές και εκτιμήσεις τιμής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Μεγέθη ανά μετοχή και αγοραίες αξίες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Βασικά κέρδη ανά μετοχή, υπολογισμένα</x:v>
      </x:c>
      <x:c r="D8" s="45" t="str">
        <x:f>IF(COUNT('Υπολογισμοί Κεφαλαίων'!D15,'Ρυθμίσεις'!$E$10,'Χρηματιστηριακά Δεδομένα'!D9,'Ρυθμίσεις'!$E$11)&lt;4,"n.a.",IF(('Χρηματιστηριακά Δεδομένα'!D9*'Ρυθμίσεις'!$E$11)&gt;0,('Υπολογισμοί Κεφαλαίων'!D15*'Ρυθμίσεις'!$E$10)/('Χρηματιστηριακά Δεδομένα'!D9*'Ρυθμίσεις'!$E$11),"n.a."))</x:f>
        <x:v>n.a.</x:v>
      </x:c>
      <x:c r="E8" s="45" t="str">
        <x:f>IF(COUNT('Υπολογισμοί Κεφαλαίων'!E15,'Ρυθμίσεις'!$E$10,'Χρηματιστηριακά Δεδομένα'!E9,'Ρυθμίσεις'!$E$11)&lt;4,"n.a.",IF(('Χρηματιστηριακά Δεδομένα'!E9*'Ρυθμίσεις'!$E$11)&gt;0,('Υπολογισμοί Κεφαλαίων'!E15*'Ρυθμίσεις'!$E$10)/('Χρηματιστηριακά Δεδομένα'!E9*'Ρυθμίσεις'!$E$11),"n.a."))</x:f>
        <x:v>n.a.</x:v>
      </x:c>
      <x:c r="F8" s="45" t="str">
        <x:f>IF(COUNT('Υπολογισμοί Κεφαλαίων'!F15,'Ρυθμίσεις'!$E$10,'Χρηματιστηριακά Δεδομένα'!F9,'Ρυθμίσεις'!$E$11)&lt;4,"n.a.",IF(('Χρηματιστηριακά Δεδομένα'!F9*'Ρυθμίσεις'!$E$11)&gt;0,('Υπολογισμοί Κεφαλαίων'!F15*'Ρυθμίσεις'!$E$10)/('Χρηματιστηριακά Δεδομένα'!F9*'Ρυθμίσεις'!$E$11),"n.a."))</x:f>
        <x:v>n.a.</x:v>
      </x:c>
      <x:c r="G8" s="45" t="str">
        <x:f>IF(COUNT('Υπολογισμοί Κεφαλαίων'!G15,'Ρυθμίσεις'!$E$10,'Χρηματιστηριακά Δεδομένα'!G9,'Ρυθμίσεις'!$E$11)&lt;4,"n.a.",IF(('Χρηματιστηριακά Δεδομένα'!G9*'Ρυθμίσεις'!$E$11)&gt;0,('Υπολογισμοί Κεφαλαίων'!G15*'Ρυθμίσεις'!$E$10)/('Χρηματιστηριακά Δεδομένα'!G9*'Ρυθμίσεις'!$E$11),"n.a."))</x:f>
        <x:v>n.a.</x:v>
      </x:c>
      <x:c r="H8" s="45" t="str">
        <x:f>IF(COUNT('Υπολογισμοί Κεφαλαίων'!H15,'Ρυθμίσεις'!$E$10,'Χρηματιστηριακά Δεδομένα'!H9,'Ρυθμίσεις'!$E$11)&lt;4,"n.a.",IF(('Χρηματιστηριακά Δεδομένα'!H9*'Ρυθμίσεις'!$E$11)&gt;0,('Υπολογισμοί Κεφαλαίων'!H15*'Ρυθμίσεις'!$E$10)/('Χρηματιστηριακά Δεδομένα'!H9*'Ρυθμίσεις'!$E$11),"n.a."))</x:f>
        <x:v>n.a.</x:v>
      </x:c>
      <x:c r="I8" s="45" t="str">
        <x:f>IF(COUNT('Υπολογισμοί Κεφαλαίων'!I15,'Ρυθμίσεις'!$E$10,'Χρηματιστηριακά Δεδομένα'!I9,'Ρυθμίσεις'!$E$11)&lt;4,"n.a.",IF(('Χρηματιστηριακά Δεδομένα'!I9*'Ρυθμίσεις'!$E$11)&gt;0,('Υπολογισμοί Κεφαλαίων'!I15*'Ρυθμίσεις'!$E$10)/('Χρηματιστηριακά Δεδομένα'!I9*'Ρυθμίσεις'!$E$11),"n.a."))</x:f>
        <x:v>n.a.</x:v>
      </x:c>
      <x:c r="J8" s="2"/>
      <x:c r="K8" s="2" t="str">
        <x:v>Κέρδη κοινών μετόχων / σταθμισμένες μετοχές, με μετατροπή μονάδων.</x:v>
      </x:c>
      <x:c r="L8" s="2"/>
      <x:c r="M8" s="2"/>
    </x:row>
    <x:row r="9" ht="23" customHeight="1">
      <x:c r="A9" s="1"/>
      <x:c r="B9" s="1"/>
      <x:c r="C9" s="2" t="str">
        <x:v>Δημοσιευμένα απομειωμένα κέρδη ανά μετοχή</x:v>
      </x:c>
      <x:c r="D9" s="46" t="str">
        <x:f>IF(COUNT('Χρηματιστηριακά Δεδομένα'!D11)&lt;1,"n.a.",IF(TRUE,'Χρηματιστηριακά Δεδομένα'!D11,"n.a."))</x:f>
        <x:v>n.a.</x:v>
      </x:c>
      <x:c r="E9" s="46" t="str">
        <x:f>IF(COUNT('Χρηματιστηριακά Δεδομένα'!E11)&lt;1,"n.a.",IF(TRUE,'Χρηματιστηριακά Δεδομένα'!E11,"n.a."))</x:f>
        <x:v>n.a.</x:v>
      </x:c>
      <x:c r="F9" s="46" t="str">
        <x:f>IF(COUNT('Χρηματιστηριακά Δεδομένα'!F11)&lt;1,"n.a.",IF(TRUE,'Χρηματιστηριακά Δεδομένα'!F11,"n.a."))</x:f>
        <x:v>n.a.</x:v>
      </x:c>
      <x:c r="G9" s="46" t="str">
        <x:f>IF(COUNT('Χρηματιστηριακά Δεδομένα'!G11)&lt;1,"n.a.",IF(TRUE,'Χρηματιστηριακά Δεδομένα'!G11,"n.a."))</x:f>
        <x:v>n.a.</x:v>
      </x:c>
      <x:c r="H9" s="46" t="str">
        <x:f>IF(COUNT('Χρηματιστηριακά Δεδομένα'!H11)&lt;1,"n.a.",IF(TRUE,'Χρηματιστηριακά Δεδομένα'!H11,"n.a."))</x:f>
        <x:v>n.a.</x:v>
      </x:c>
      <x:c r="I9" s="46" t="str">
        <x:f>IF(COUNT('Χρηματιστηριακά Δεδομένα'!I11)&lt;1,"n.a.",IF(TRUE,'Χρηματιστηριακά Δεδομένα'!I11,"n.a."))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Λογιστική αξία ανά κοινή μετοχή</x:v>
      </x:c>
      <x:c r="D10" s="45" t="str">
        <x:f>IF(COUNT('Υπολογισμοί Κεφαλαίων'!D14,'Ρυθμίσεις'!$E$10,'Χρηματιστηριακά Δεδομένα'!D8,'Ρυθμίσεις'!$E$11)&lt;4,"n.a.",IF(('Χρηματιστηριακά Δεδομένα'!D8*'Ρυθμίσεις'!$E$11)&gt;0,('Υπολογισμοί Κεφαλαίων'!D14*'Ρυθμίσεις'!$E$10)/('Χρηματιστηριακά Δεδομένα'!D8*'Ρυθμίσεις'!$E$11),"n.a."))</x:f>
        <x:v>n.a.</x:v>
      </x:c>
      <x:c r="E10" s="45" t="str">
        <x:f>IF(COUNT('Υπολογισμοί Κεφαλαίων'!E14,'Ρυθμίσεις'!$E$10,'Χρηματιστηριακά Δεδομένα'!E8,'Ρυθμίσεις'!$E$11)&lt;4,"n.a.",IF(('Χρηματιστηριακά Δεδομένα'!E8*'Ρυθμίσεις'!$E$11)&gt;0,('Υπολογισμοί Κεφαλαίων'!E14*'Ρυθμίσεις'!$E$10)/('Χρηματιστηριακά Δεδομένα'!E8*'Ρυθμίσεις'!$E$11),"n.a."))</x:f>
        <x:v>n.a.</x:v>
      </x:c>
      <x:c r="F10" s="45" t="str">
        <x:f>IF(COUNT('Υπολογισμοί Κεφαλαίων'!F14,'Ρυθμίσεις'!$E$10,'Χρηματιστηριακά Δεδομένα'!F8,'Ρυθμίσεις'!$E$11)&lt;4,"n.a.",IF(('Χρηματιστηριακά Δεδομένα'!F8*'Ρυθμίσεις'!$E$11)&gt;0,('Υπολογισμοί Κεφαλαίων'!F14*'Ρυθμίσεις'!$E$10)/('Χρηματιστηριακά Δεδομένα'!F8*'Ρυθμίσεις'!$E$11),"n.a."))</x:f>
        <x:v>n.a.</x:v>
      </x:c>
      <x:c r="G10" s="45" t="str">
        <x:f>IF(COUNT('Υπολογισμοί Κεφαλαίων'!G14,'Ρυθμίσεις'!$E$10,'Χρηματιστηριακά Δεδομένα'!G8,'Ρυθμίσεις'!$E$11)&lt;4,"n.a.",IF(('Χρηματιστηριακά Δεδομένα'!G8*'Ρυθμίσεις'!$E$11)&gt;0,('Υπολογισμοί Κεφαλαίων'!G14*'Ρυθμίσεις'!$E$10)/('Χρηματιστηριακά Δεδομένα'!G8*'Ρυθμίσεις'!$E$11),"n.a."))</x:f>
        <x:v>n.a.</x:v>
      </x:c>
      <x:c r="H10" s="45" t="str">
        <x:f>IF(COUNT('Υπολογισμοί Κεφαλαίων'!H14,'Ρυθμίσεις'!$E$10,'Χρηματιστηριακά Δεδομένα'!H8,'Ρυθμίσεις'!$E$11)&lt;4,"n.a.",IF(('Χρηματιστηριακά Δεδομένα'!H8*'Ρυθμίσεις'!$E$11)&gt;0,('Υπολογισμοί Κεφαλαίων'!H14*'Ρυθμίσεις'!$E$10)/('Χρηματιστηριακά Δεδομένα'!H8*'Ρυθμίσεις'!$E$11),"n.a."))</x:f>
        <x:v>n.a.</x:v>
      </x:c>
      <x:c r="I10" s="45" t="str">
        <x:f>IF(COUNT('Υπολογισμοί Κεφαλαίων'!I14,'Ρυθμίσεις'!$E$10,'Χρηματιστηριακά Δεδομένα'!I8,'Ρυθμίσεις'!$E$11)&lt;4,"n.a.",IF(('Χρηματιστηριακά Δεδομένα'!I8*'Ρυθμίσεις'!$E$11)&gt;0,('Υπολογισμοί Κεφαλαίων'!I14*'Ρυθμίσεις'!$E$10)/('Χρηματιστηριακά Δεδομένα'!I8*'Ρυθμίσεις'!$E$11),"n.a."))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Ενσώματη λογιστική αξία ανά κοινή μετοχή</x:v>
      </x:c>
      <x:c r="D11" s="46" t="str">
        <x:f>IF(COUNT('Υπολογισμοί Κεφαλαίων'!D14,'Ισολογισμός'!D21,'Ισολογισμός'!D22,'Ρυθμίσεις'!$E$10,'Χρηματιστηριακά Δεδομένα'!D8,'Ρυθμίσεις'!$E$11)&lt;6,"n.a.",IF(('Χρηματιστηριακά Δεδομένα'!D8*'Ρυθμίσεις'!$E$11)&gt;0,(('Υπολογισμοί Κεφαλαίων'!D14-'Ισολογισμός'!D21-'Ισολογισμός'!D22)*'Ρυθμίσεις'!$E$10)/('Χρηματιστηριακά Δεδομένα'!D8*'Ρυθμίσεις'!$E$11),"n.a."))</x:f>
        <x:v>n.a.</x:v>
      </x:c>
      <x:c r="E11" s="46" t="str">
        <x:f>IF(COUNT('Υπολογισμοί Κεφαλαίων'!E14,'Ισολογισμός'!E21,'Ισολογισμός'!E22,'Ρυθμίσεις'!$E$10,'Χρηματιστηριακά Δεδομένα'!E8,'Ρυθμίσεις'!$E$11)&lt;6,"n.a.",IF(('Χρηματιστηριακά Δεδομένα'!E8*'Ρυθμίσεις'!$E$11)&gt;0,(('Υπολογισμοί Κεφαλαίων'!E14-'Ισολογισμός'!E21-'Ισολογισμός'!E22)*'Ρυθμίσεις'!$E$10)/('Χρηματιστηριακά Δεδομένα'!E8*'Ρυθμίσεις'!$E$11),"n.a."))</x:f>
        <x:v>n.a.</x:v>
      </x:c>
      <x:c r="F11" s="46" t="str">
        <x:f>IF(COUNT('Υπολογισμοί Κεφαλαίων'!F14,'Ισολογισμός'!F21,'Ισολογισμός'!F22,'Ρυθμίσεις'!$E$10,'Χρηματιστηριακά Δεδομένα'!F8,'Ρυθμίσεις'!$E$11)&lt;6,"n.a.",IF(('Χρηματιστηριακά Δεδομένα'!F8*'Ρυθμίσεις'!$E$11)&gt;0,(('Υπολογισμοί Κεφαλαίων'!F14-'Ισολογισμός'!F21-'Ισολογισμός'!F22)*'Ρυθμίσεις'!$E$10)/('Χρηματιστηριακά Δεδομένα'!F8*'Ρυθμίσεις'!$E$11),"n.a."))</x:f>
        <x:v>n.a.</x:v>
      </x:c>
      <x:c r="G11" s="46" t="str">
        <x:f>IF(COUNT('Υπολογισμοί Κεφαλαίων'!G14,'Ισολογισμός'!G21,'Ισολογισμός'!G22,'Ρυθμίσεις'!$E$10,'Χρηματιστηριακά Δεδομένα'!G8,'Ρυθμίσεις'!$E$11)&lt;6,"n.a.",IF(('Χρηματιστηριακά Δεδομένα'!G8*'Ρυθμίσεις'!$E$11)&gt;0,(('Υπολογισμοί Κεφαλαίων'!G14-'Ισολογισμός'!G21-'Ισολογισμός'!G22)*'Ρυθμίσεις'!$E$10)/('Χρηματιστηριακά Δεδομένα'!G8*'Ρυθμίσεις'!$E$11),"n.a."))</x:f>
        <x:v>n.a.</x:v>
      </x:c>
      <x:c r="H11" s="46" t="str">
        <x:f>IF(COUNT('Υπολογισμοί Κεφαλαίων'!H14,'Ισολογισμός'!H21,'Ισολογισμός'!H22,'Ρυθμίσεις'!$E$10,'Χρηματιστηριακά Δεδομένα'!H8,'Ρυθμίσεις'!$E$11)&lt;6,"n.a.",IF(('Χρηματιστηριακά Δεδομένα'!H8*'Ρυθμίσεις'!$E$11)&gt;0,(('Υπολογισμοί Κεφαλαίων'!H14-'Ισολογισμός'!H21-'Ισολογισμός'!H22)*'Ρυθμίσεις'!$E$10)/('Χρηματιστηριακά Δεδομένα'!H8*'Ρυθμίσεις'!$E$11),"n.a."))</x:f>
        <x:v>n.a.</x:v>
      </x:c>
      <x:c r="I11" s="46" t="str">
        <x:f>IF(COUNT('Υπολογισμοί Κεφαλαίων'!I14,'Ισολογισμός'!I21,'Ισολογισμός'!I22,'Ρυθμίσεις'!$E$10,'Χρηματιστηριακά Δεδομένα'!I8,'Ρυθμίσεις'!$E$11)&lt;6,"n.a.",IF(('Χρηματιστηριακά Δεδομένα'!I8*'Ρυθμίσεις'!$E$11)&gt;0,(('Υπολογισμοί Κεφαλαίων'!I14-'Ισολογισμός'!I21-'Ισολογισμός'!I22)*'Ρυθμίσεις'!$E$10)/('Χρηματιστηριακά Δεδομένα'!I8*'Ρυθμίσεις'!$E$11),"n.a."))</x:f>
        <x:v>n.a.</x:v>
      </x:c>
      <x:c r="J11" s="2"/>
      <x:c r="K11" s="2" t="str">
        <x:v>Αφαιρεί υπεραξία και άυλα ομίλου. Ελέγξτε την κατανομή μειοψηφίας αν είναι σημαντική.</x:v>
      </x:c>
      <x:c r="L11" s="2"/>
      <x:c r="M11" s="2"/>
    </x:row>
    <x:row r="12" ht="23" customHeight="1">
      <x:c r="A12" s="1"/>
      <x:c r="B12" s="1"/>
      <x:c r="C12" s="2" t="str">
        <x:v>Χρηματιστηριακή αξία κοινών μετοχών</x:v>
      </x:c>
      <x:c r="D12" s="39" t="str">
        <x:f>IF(COUNT('Χρηματιστηριακά Δεδομένα'!D7,'Χρηματιστηριακά Δεδομένα'!D8,'Ρυθμίσεις'!$E$11,'Ρυθμίσεις'!$E$10)&lt;4,"n.a.",IF(AND('Χρηματιστηριακά Δεδομένα'!D7&gt;0,'Χρηματιστηριακά Δεδομένα'!D8&gt;0,'Ρυθμίσεις'!$E$10&gt;0,'Ρυθμίσεις'!$E$11&gt;0),'Χρηματιστηριακά Δεδομένα'!D7*'Χρηματιστηριακά Δεδομένα'!D8*'Ρυθμίσεις'!$E$11/'Ρυθμίσεις'!$E$10,"n.a."))</x:f>
        <x:v>n.a.</x:v>
      </x:c>
      <x:c r="E12" s="39" t="str">
        <x:f>IF(COUNT('Χρηματιστηριακά Δεδομένα'!E7,'Χρηματιστηριακά Δεδομένα'!E8,'Ρυθμίσεις'!$E$11,'Ρυθμίσεις'!$E$10)&lt;4,"n.a.",IF(AND('Χρηματιστηριακά Δεδομένα'!E7&gt;0,'Χρηματιστηριακά Δεδομένα'!E8&gt;0,'Ρυθμίσεις'!$E$10&gt;0,'Ρυθμίσεις'!$E$11&gt;0),'Χρηματιστηριακά Δεδομένα'!E7*'Χρηματιστηριακά Δεδομένα'!E8*'Ρυθμίσεις'!$E$11/'Ρυθμίσεις'!$E$10,"n.a."))</x:f>
        <x:v>n.a.</x:v>
      </x:c>
      <x:c r="F12" s="39" t="str">
        <x:f>IF(COUNT('Χρηματιστηριακά Δεδομένα'!F7,'Χρηματιστηριακά Δεδομένα'!F8,'Ρυθμίσεις'!$E$11,'Ρυθμίσεις'!$E$10)&lt;4,"n.a.",IF(AND('Χρηματιστηριακά Δεδομένα'!F7&gt;0,'Χρηματιστηριακά Δεδομένα'!F8&gt;0,'Ρυθμίσεις'!$E$10&gt;0,'Ρυθμίσεις'!$E$11&gt;0),'Χρηματιστηριακά Δεδομένα'!F7*'Χρηματιστηριακά Δεδομένα'!F8*'Ρυθμίσεις'!$E$11/'Ρυθμίσεις'!$E$10,"n.a."))</x:f>
        <x:v>n.a.</x:v>
      </x:c>
      <x:c r="G12" s="39" t="str">
        <x:f>IF(COUNT('Χρηματιστηριακά Δεδομένα'!G7,'Χρηματιστηριακά Δεδομένα'!G8,'Ρυθμίσεις'!$E$11,'Ρυθμίσεις'!$E$10)&lt;4,"n.a.",IF(AND('Χρηματιστηριακά Δεδομένα'!G7&gt;0,'Χρηματιστηριακά Δεδομένα'!G8&gt;0,'Ρυθμίσεις'!$E$10&gt;0,'Ρυθμίσεις'!$E$11&gt;0),'Χρηματιστηριακά Δεδομένα'!G7*'Χρηματιστηριακά Δεδομένα'!G8*'Ρυθμίσεις'!$E$11/'Ρυθμίσεις'!$E$10,"n.a."))</x:f>
        <x:v>n.a.</x:v>
      </x:c>
      <x:c r="H12" s="39" t="str">
        <x:f>IF(COUNT('Χρηματιστηριακά Δεδομένα'!H7,'Χρηματιστηριακά Δεδομένα'!H8,'Ρυθμίσεις'!$E$11,'Ρυθμίσεις'!$E$10)&lt;4,"n.a.",IF(AND('Χρηματιστηριακά Δεδομένα'!H7&gt;0,'Χρηματιστηριακά Δεδομένα'!H8&gt;0,'Ρυθμίσεις'!$E$10&gt;0,'Ρυθμίσεις'!$E$11&gt;0),'Χρηματιστηριακά Δεδομένα'!H7*'Χρηματιστηριακά Δεδομένα'!H8*'Ρυθμίσεις'!$E$11/'Ρυθμίσεις'!$E$10,"n.a."))</x:f>
        <x:v>n.a.</x:v>
      </x:c>
      <x:c r="I12" s="39" t="str">
        <x:f>IF(COUNT('Χρηματιστηριακά Δεδομένα'!I7,'Χρηματιστηριακά Δεδομένα'!I8,'Ρυθμίσεις'!$E$11,'Ρυθμίσεις'!$E$10)&lt;4,"n.a.",IF(AND('Χρηματιστηριακά Δεδομένα'!I7&gt;0,'Χρηματιστηριακά Δεδομένα'!I8&gt;0,'Ρυθμίσεις'!$E$10&gt;0,'Ρυθμίσεις'!$E$11&gt;0),'Χρηματιστηριακά Δεδομένα'!I7*'Χρηματιστηριακά Δεδομένα'!I8*'Ρυθμίσεις'!$E$11/'Ρυθμίσεις'!$E$10,"n.a."))</x:f>
        <x:v>n.a.</x:v>
      </x:c>
      <x:c r="J12" s="2"/>
      <x:c r="K12" s="2" t="str">
        <x:v>Τιμή επί μετοχές τέλους, στη νομισματική μονάδα εισαγωγής.</x:v>
      </x:c>
      <x:c r="L12" s="2"/>
      <x:c r="M12" s="2"/>
    </x:row>
    <x:row r="13" ht="23" customHeight="1">
      <x:c r="A13" s="1"/>
      <x:c r="B13" s="1"/>
      <x:c r="C13" s="2" t="str">
        <x:v>Αξία επιχείρησης (EV)</x:v>
      </x:c>
      <x:c r="D13" s="43" t="str">
        <x:f>IF(COUNT('Αποτίμηση Μετοχής'!D12,'Υπολογισμοί Κεφαλαίων'!D9,'Χρηματιστηριακά Δεδομένα'!D15,'Χρηματιστηριακά Δεδομένα'!D16)&lt;4,"n.a.",IF(TRUE,'Αποτίμηση Μετοχής'!D12+'Υπολογισμοί Κεφαλαίων'!D9+'Χρηματιστηριακά Δεδομένα'!D15+'Χρηματιστηριακά Δεδομένα'!D16,"n.a."))</x:f>
        <x:v>n.a.</x:v>
      </x:c>
      <x:c r="E13" s="43" t="str">
        <x:f>IF(COUNT('Αποτίμηση Μετοχής'!E12,'Υπολογισμοί Κεφαλαίων'!E9,'Χρηματιστηριακά Δεδομένα'!E15,'Χρηματιστηριακά Δεδομένα'!E16)&lt;4,"n.a.",IF(TRUE,'Αποτίμηση Μετοχής'!E12+'Υπολογισμοί Κεφαλαίων'!E9+'Χρηματιστηριακά Δεδομένα'!E15+'Χρηματιστηριακά Δεδομένα'!E16,"n.a."))</x:f>
        <x:v>n.a.</x:v>
      </x:c>
      <x:c r="F13" s="43" t="str">
        <x:f>IF(COUNT('Αποτίμηση Μετοχής'!F12,'Υπολογισμοί Κεφαλαίων'!F9,'Χρηματιστηριακά Δεδομένα'!F15,'Χρηματιστηριακά Δεδομένα'!F16)&lt;4,"n.a.",IF(TRUE,'Αποτίμηση Μετοχής'!F12+'Υπολογισμοί Κεφαλαίων'!F9+'Χρηματιστηριακά Δεδομένα'!F15+'Χρηματιστηριακά Δεδομένα'!F16,"n.a."))</x:f>
        <x:v>n.a.</x:v>
      </x:c>
      <x:c r="G13" s="43" t="str">
        <x:f>IF(COUNT('Αποτίμηση Μετοχής'!G12,'Υπολογισμοί Κεφαλαίων'!G9,'Χρηματιστηριακά Δεδομένα'!G15,'Χρηματιστηριακά Δεδομένα'!G16)&lt;4,"n.a.",IF(TRUE,'Αποτίμηση Μετοχής'!G12+'Υπολογισμοί Κεφαλαίων'!G9+'Χρηματιστηριακά Δεδομένα'!G15+'Χρηματιστηριακά Δεδομένα'!G16,"n.a."))</x:f>
        <x:v>n.a.</x:v>
      </x:c>
      <x:c r="H13" s="43" t="str">
        <x:f>IF(COUNT('Αποτίμηση Μετοχής'!H12,'Υπολογισμοί Κεφαλαίων'!H9,'Χρηματιστηριακά Δεδομένα'!H15,'Χρηματιστηριακά Δεδομένα'!H16)&lt;4,"n.a.",IF(TRUE,'Αποτίμηση Μετοχής'!H12+'Υπολογισμοί Κεφαλαίων'!H9+'Χρηματιστηριακά Δεδομένα'!H15+'Χρηματιστηριακά Δεδομένα'!H16,"n.a."))</x:f>
        <x:v>n.a.</x:v>
      </x:c>
      <x:c r="I13" s="43" t="str">
        <x:f>IF(COUNT('Αποτίμηση Μετοχής'!I12,'Υπολογισμοί Κεφαλαίων'!I9,'Χρηματιστηριακά Δεδομένα'!I15,'Χρηματιστηριακά Δεδομένα'!I16)&lt;4,"n.a.",IF(TRUE,'Αποτίμηση Μετοχής'!I12+'Υπολογισμοί Κεφαλαίων'!I9+'Χρηματιστηριακά Δεδομένα'!I15+'Χρηματιστηριακά Δεδομένα'!I16,"n.a."))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Χρηματιστηριακή αξία + χρέος + προνομιούχα</x:v>
      </x:c>
      <x:c r="D14" s="39" t="str">
        <x:f>IF(COUNT('Αποτίμηση Μετοχής'!D12,'Υπολογισμοί Κεφαλαίων'!D8,'Χρηματιστηριακά Δεδομένα'!D15)&lt;3,"n.a.",IF(TRUE,'Αποτίμηση Μετοχής'!D12+'Υπολογισμοί Κεφαλαίων'!D8+'Χρηματιστηριακά Δεδομένα'!D15,"n.a."))</x:f>
        <x:v>n.a.</x:v>
      </x:c>
      <x:c r="E14" s="39" t="str">
        <x:f>IF(COUNT('Αποτίμηση Μετοχής'!E12,'Υπολογισμοί Κεφαλαίων'!E8,'Χρηματιστηριακά Δεδομένα'!E15)&lt;3,"n.a.",IF(TRUE,'Αποτίμηση Μετοχής'!E12+'Υπολογισμοί Κεφαλαίων'!E8+'Χρηματιστηριακά Δεδομένα'!E15,"n.a."))</x:f>
        <x:v>n.a.</x:v>
      </x:c>
      <x:c r="F14" s="39" t="str">
        <x:f>IF(COUNT('Αποτίμηση Μετοχής'!F12,'Υπολογισμοί Κεφαλαίων'!F8,'Χρηματιστηριακά Δεδομένα'!F15)&lt;3,"n.a.",IF(TRUE,'Αποτίμηση Μετοχής'!F12+'Υπολογισμοί Κεφαλαίων'!F8+'Χρηματιστηριακά Δεδομένα'!F15,"n.a."))</x:f>
        <x:v>n.a.</x:v>
      </x:c>
      <x:c r="G14" s="39" t="str">
        <x:f>IF(COUNT('Αποτίμηση Μετοχής'!G12,'Υπολογισμοί Κεφαλαίων'!G8,'Χρηματιστηριακά Δεδομένα'!G15)&lt;3,"n.a.",IF(TRUE,'Αποτίμηση Μετοχής'!G12+'Υπολογισμοί Κεφαλαίων'!G8+'Χρηματιστηριακά Δεδομένα'!G15,"n.a."))</x:f>
        <x:v>n.a.</x:v>
      </x:c>
      <x:c r="H14" s="39" t="str">
        <x:f>IF(COUNT('Αποτίμηση Μετοχής'!H12,'Υπολογισμοί Κεφαλαίων'!H8,'Χρηματιστηριακά Δεδομένα'!H15)&lt;3,"n.a.",IF(TRUE,'Αποτίμηση Μετοχής'!H12+'Υπολογισμοί Κεφαλαίων'!H8+'Χρηματιστηριακά Δεδομένα'!H15,"n.a."))</x:f>
        <x:v>n.a.</x:v>
      </x:c>
      <x:c r="I14" s="39" t="str">
        <x:f>IF(COUNT('Αποτίμηση Μετοχής'!I12,'Υπολογισμοί Κεφαλαίων'!I8,'Χρηματιστηριακά Δεδομένα'!I15)&lt;3,"n.a.",IF(TRUE,'Αποτίμηση Μετοχής'!I12+'Υπολογισμοί Κεφαλαίων'!I8+'Χρηματιστηριακά Δεδομένα'!I15,"n.a."))</x:f>
        <x:v>n.a.</x:v>
      </x:c>
      <x:c r="J14" s="2"/>
      <x:c r="K14" s="2" t="str">
        <x:v>Ακαθάριστο μέγεθος κεφαλαιοποίησης, διαφορετικό από EV.</x:v>
      </x:c>
      <x:c r="L14" s="2"/>
      <x:c r="M14" s="2"/>
    </x:row>
    <x:row r="15" ht="25" customHeight="1">
      <x:c r="A15" s="1"/>
      <x:c r="B15" s="1"/>
      <x:c r="C15" s="34" t="str">
        <x:v>Πολλαπλασιαστές αποτίμησης και αποδόσεις</x:v>
      </x:c>
      <x:c r="D15" s="34"/>
      <x:c r="E15" s="34"/>
      <x:c r="F15" s="34"/>
      <x:c r="G15" s="34"/>
      <x:c r="H15" s="34"/>
      <x:c r="I15" s="34"/>
      <x:c r="J15" s="2"/>
      <x:c r="K15" s="2"/>
      <x:c r="L15" s="2"/>
      <x:c r="M15" s="2"/>
    </x:row>
    <x:row r="16" ht="23" customHeight="1">
      <x:c r="A16" s="1"/>
      <x:c r="B16" s="1"/>
      <x:c r="C16" s="20" t="str">
        <x:v>Τιμή προς βασικά κέρδη ανά μετοχή (P/E)</x:v>
      </x:c>
      <x:c r="D16" s="42" t="str">
        <x:f>IF(COUNT('Χρηματιστηριακά Δεδομένα'!D7,'Αποτίμηση Μετοχής'!D8)&lt;2,"n.a.",IF(('Αποτίμηση Μετοχής'!D8)&gt;0,('Χρηματιστηριακά Δεδομένα'!D7)/('Αποτίμηση Μετοχής'!D8),"n.a."))</x:f>
        <x:v>n.a.</x:v>
      </x:c>
      <x:c r="E16" s="42" t="str">
        <x:f>IF(COUNT('Χρηματιστηριακά Δεδομένα'!E7,'Αποτίμηση Μετοχής'!E8)&lt;2,"n.a.",IF(('Αποτίμηση Μετοχής'!E8)&gt;0,('Χρηματιστηριακά Δεδομένα'!E7)/('Αποτίμηση Μετοχής'!E8),"n.a."))</x:f>
        <x:v>n.a.</x:v>
      </x:c>
      <x:c r="F16" s="42" t="str">
        <x:f>IF(COUNT('Χρηματιστηριακά Δεδομένα'!F7,'Αποτίμηση Μετοχής'!F8)&lt;2,"n.a.",IF(('Αποτίμηση Μετοχής'!F8)&gt;0,('Χρηματιστηριακά Δεδομένα'!F7)/('Αποτίμηση Μετοχής'!F8),"n.a."))</x:f>
        <x:v>n.a.</x:v>
      </x:c>
      <x:c r="G16" s="42" t="str">
        <x:f>IF(COUNT('Χρηματιστηριακά Δεδομένα'!G7,'Αποτίμηση Μετοχής'!G8)&lt;2,"n.a.",IF(('Αποτίμηση Μετοχής'!G8)&gt;0,('Χρηματιστηριακά Δεδομένα'!G7)/('Αποτίμηση Μετοχής'!G8),"n.a."))</x:f>
        <x:v>n.a.</x:v>
      </x:c>
      <x:c r="H16" s="42" t="str">
        <x:f>IF(COUNT('Χρηματιστηριακά Δεδομένα'!H7,'Αποτίμηση Μετοχής'!H8)&lt;2,"n.a.",IF(('Αποτίμηση Μετοχής'!H8)&gt;0,('Χρηματιστηριακά Δεδομένα'!H7)/('Αποτίμηση Μετοχής'!H8),"n.a."))</x:f>
        <x:v>n.a.</x:v>
      </x:c>
      <x:c r="I16" s="42" t="str">
        <x:f>IF(COUNT('Χρηματιστηριακά Δεδομένα'!I7,'Αποτίμηση Μετοχής'!I8)&lt;2,"n.a.",IF(('Αποτίμηση Μετοχής'!I8)&gt;0,('Χρηματιστηριακά Δεδομένα'!I7)/('Αποτίμηση Μετοχής'!I8),"n.a."))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Τιμή προς λογιστική αξία (P/B)</x:v>
      </x:c>
      <x:c r="D17" s="41" t="str">
        <x:f>IF(COUNT('Χρηματιστηριακά Δεδομένα'!D7,'Αποτίμηση Μετοχής'!D10)&lt;2,"n.a.",IF(('Αποτίμηση Μετοχής'!D10)&gt;0,('Χρηματιστηριακά Δεδομένα'!D7)/('Αποτίμηση Μετοχής'!D10),"n.a."))</x:f>
        <x:v>n.a.</x:v>
      </x:c>
      <x:c r="E17" s="41" t="str">
        <x:f>IF(COUNT('Χρηματιστηριακά Δεδομένα'!E7,'Αποτίμηση Μετοχής'!E10)&lt;2,"n.a.",IF(('Αποτίμηση Μετοχής'!E10)&gt;0,('Χρηματιστηριακά Δεδομένα'!E7)/('Αποτίμηση Μετοχής'!E10),"n.a."))</x:f>
        <x:v>n.a.</x:v>
      </x:c>
      <x:c r="F17" s="41" t="str">
        <x:f>IF(COUNT('Χρηματιστηριακά Δεδομένα'!F7,'Αποτίμηση Μετοχής'!F10)&lt;2,"n.a.",IF(('Αποτίμηση Μετοχής'!F10)&gt;0,('Χρηματιστηριακά Δεδομένα'!F7)/('Αποτίμηση Μετοχής'!F10),"n.a."))</x:f>
        <x:v>n.a.</x:v>
      </x:c>
      <x:c r="G17" s="41" t="str">
        <x:f>IF(COUNT('Χρηματιστηριακά Δεδομένα'!G7,'Αποτίμηση Μετοχής'!G10)&lt;2,"n.a.",IF(('Αποτίμηση Μετοχής'!G10)&gt;0,('Χρηματιστηριακά Δεδομένα'!G7)/('Αποτίμηση Μετοχής'!G10),"n.a."))</x:f>
        <x:v>n.a.</x:v>
      </x:c>
      <x:c r="H17" s="41" t="str">
        <x:f>IF(COUNT('Χρηματιστηριακά Δεδομένα'!H7,'Αποτίμηση Μετοχής'!H10)&lt;2,"n.a.",IF(('Αποτίμηση Μετοχής'!H10)&gt;0,('Χρηματιστηριακά Δεδομένα'!H7)/('Αποτίμηση Μετοχής'!H10),"n.a."))</x:f>
        <x:v>n.a.</x:v>
      </x:c>
      <x:c r="I17" s="41" t="str">
        <x:f>IF(COUNT('Χρηματιστηριακά Δεδομένα'!I7,'Αποτίμηση Μετοχής'!I10)&lt;2,"n.a.",IF(('Αποτίμηση Μετοχής'!I10)&gt;0,('Χρηματιστηριακά Δεδομένα'!I7)/('Αποτίμηση Μετοχής'!I10),"n.a."))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0" t="str">
        <x:v>Τιμή προς ενσώματη λογιστική αξία</x:v>
      </x:c>
      <x:c r="D18" s="42" t="str">
        <x:f>IF(COUNT('Χρηματιστηριακά Δεδομένα'!D7,'Αποτίμηση Μετοχής'!D11)&lt;2,"n.a.",IF(('Αποτίμηση Μετοχής'!D11)&gt;0,('Χρηματιστηριακά Δεδομένα'!D7)/('Αποτίμηση Μετοχής'!D11),"n.a."))</x:f>
        <x:v>n.a.</x:v>
      </x:c>
      <x:c r="E18" s="42" t="str">
        <x:f>IF(COUNT('Χρηματιστηριακά Δεδομένα'!E7,'Αποτίμηση Μετοχής'!E11)&lt;2,"n.a.",IF(('Αποτίμηση Μετοχής'!E11)&gt;0,('Χρηματιστηριακά Δεδομένα'!E7)/('Αποτίμηση Μετοχής'!E11),"n.a."))</x:f>
        <x:v>n.a.</x:v>
      </x:c>
      <x:c r="F18" s="42" t="str">
        <x:f>IF(COUNT('Χρηματιστηριακά Δεδομένα'!F7,'Αποτίμηση Μετοχής'!F11)&lt;2,"n.a.",IF(('Αποτίμηση Μετοχής'!F11)&gt;0,('Χρηματιστηριακά Δεδομένα'!F7)/('Αποτίμηση Μετοχής'!F11),"n.a."))</x:f>
        <x:v>n.a.</x:v>
      </x:c>
      <x:c r="G18" s="42" t="str">
        <x:f>IF(COUNT('Χρηματιστηριακά Δεδομένα'!G7,'Αποτίμηση Μετοχής'!G11)&lt;2,"n.a.",IF(('Αποτίμηση Μετοχής'!G11)&gt;0,('Χρηματιστηριακά Δεδομένα'!G7)/('Αποτίμηση Μετοχής'!G11),"n.a."))</x:f>
        <x:v>n.a.</x:v>
      </x:c>
      <x:c r="H18" s="42" t="str">
        <x:f>IF(COUNT('Χρηματιστηριακά Δεδομένα'!H7,'Αποτίμηση Μετοχής'!H11)&lt;2,"n.a.",IF(('Αποτίμηση Μετοχής'!H11)&gt;0,('Χρηματιστηριακά Δεδομένα'!H7)/('Αποτίμηση Μετοχής'!H11),"n.a."))</x:f>
        <x:v>n.a.</x:v>
      </x:c>
      <x:c r="I18" s="42" t="str">
        <x:f>IF(COUNT('Χρηματιστηριακά Δεδομένα'!I7,'Αποτίμηση Μετοχής'!I11)&lt;2,"n.a.",IF(('Αποτίμηση Μετοχής'!I11)&gt;0,('Χρηματιστηριακά Δεδομένα'!I7)/('Αποτίμηση Μετοχής'!I11),"n.a."))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Χρηματιστηριακή αξία προς πωλήσεις</x:v>
      </x:c>
      <x:c r="D19" s="41" t="str">
        <x:f>IF(COUNT('Αποτίμηση Μετοχής'!D12,'Αποτελέσματα Χρήσης'!D8)&lt;2,"n.a.",IF(('Αποτελέσματα Χρήσης'!D8)&gt;0,('Αποτίμηση Μετοχής'!D12)/('Αποτελέσματα Χρήσης'!D8),"n.a."))</x:f>
        <x:v>n.a.</x:v>
      </x:c>
      <x:c r="E19" s="41" t="str">
        <x:f>IF(COUNT('Αποτίμηση Μετοχής'!E12,'Αποτελέσματα Χρήσης'!E8)&lt;2,"n.a.",IF(('Αποτελέσματα Χρήσης'!E8)&gt;0,('Αποτίμηση Μετοχής'!E12)/('Αποτελέσματα Χρήσης'!E8),"n.a."))</x:f>
        <x:v>n.a.</x:v>
      </x:c>
      <x:c r="F19" s="41" t="str">
        <x:f>IF(COUNT('Αποτίμηση Μετοχής'!F12,'Αποτελέσματα Χρήσης'!F8)&lt;2,"n.a.",IF(('Αποτελέσματα Χρήσης'!F8)&gt;0,('Αποτίμηση Μετοχής'!F12)/('Αποτελέσματα Χρήσης'!F8),"n.a."))</x:f>
        <x:v>n.a.</x:v>
      </x:c>
      <x:c r="G19" s="41" t="str">
        <x:f>IF(COUNT('Αποτίμηση Μετοχής'!G12,'Αποτελέσματα Χρήσης'!G8)&lt;2,"n.a.",IF(('Αποτελέσματα Χρήσης'!G8)&gt;0,('Αποτίμηση Μετοχής'!G12)/('Αποτελέσματα Χρήσης'!G8),"n.a."))</x:f>
        <x:v>n.a.</x:v>
      </x:c>
      <x:c r="H19" s="41" t="str">
        <x:f>IF(COUNT('Αποτίμηση Μετοχής'!H12,'Αποτελέσματα Χρήσης'!H8)&lt;2,"n.a.",IF(('Αποτελέσματα Χρήσης'!H8)&gt;0,('Αποτίμηση Μετοχής'!H12)/('Αποτελέσματα Χρήσης'!H8),"n.a."))</x:f>
        <x:v>n.a.</x:v>
      </x:c>
      <x:c r="I19" s="41" t="str">
        <x:f>IF(COUNT('Αποτίμηση Μετοχής'!I12,'Αποτελέσματα Χρήσης'!I8)&lt;2,"n.a.",IF(('Αποτελέσματα Χρήσης'!I8)&gt;0,('Αποτίμηση Μετοχής'!I12)/('Αποτελέσματα Χρήσης'!I8),"n.a."))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Αξία επιχείρησης προς EBITDA</x:v>
      </x:c>
      <x:c r="D20" s="42" t="str">
        <x:f>IF(COUNT('Αποτίμηση Μετοχής'!D13,'Υπολογισμοί Κεφαλαίων'!D16)&lt;2,"n.a.",IF(('Υπολογισμοί Κεφαλαίων'!D16)&gt;0,('Αποτίμηση Μετοχής'!D13)/('Υπολογισμοί Κεφαλαίων'!D16),"n.a."))</x:f>
        <x:v>n.a.</x:v>
      </x:c>
      <x:c r="E20" s="42" t="str">
        <x:f>IF(COUNT('Αποτίμηση Μετοχής'!E13,'Υπολογισμοί Κεφαλαίων'!E16)&lt;2,"n.a.",IF(('Υπολογισμοί Κεφαλαίων'!E16)&gt;0,('Αποτίμηση Μετοχής'!E13)/('Υπολογισμοί Κεφαλαίων'!E16),"n.a."))</x:f>
        <x:v>n.a.</x:v>
      </x:c>
      <x:c r="F20" s="42" t="str">
        <x:f>IF(COUNT('Αποτίμηση Μετοχής'!F13,'Υπολογισμοί Κεφαλαίων'!F16)&lt;2,"n.a.",IF(('Υπολογισμοί Κεφαλαίων'!F16)&gt;0,('Αποτίμηση Μετοχής'!F13)/('Υπολογισμοί Κεφαλαίων'!F16),"n.a."))</x:f>
        <x:v>n.a.</x:v>
      </x:c>
      <x:c r="G20" s="42" t="str">
        <x:f>IF(COUNT('Αποτίμηση Μετοχής'!G13,'Υπολογισμοί Κεφαλαίων'!G16)&lt;2,"n.a.",IF(('Υπολογισμοί Κεφαλαίων'!G16)&gt;0,('Αποτίμηση Μετοχής'!G13)/('Υπολογισμοί Κεφαλαίων'!G16),"n.a."))</x:f>
        <x:v>n.a.</x:v>
      </x:c>
      <x:c r="H20" s="42" t="str">
        <x:f>IF(COUNT('Αποτίμηση Μετοχής'!H13,'Υπολογισμοί Κεφαλαίων'!H16)&lt;2,"n.a.",IF(('Υπολογισμοί Κεφαλαίων'!H16)&gt;0,('Αποτίμηση Μετοχής'!H13)/('Υπολογισμοί Κεφαλαίων'!H16),"n.a."))</x:f>
        <x:v>n.a.</x:v>
      </x:c>
      <x:c r="I20" s="42" t="str">
        <x:f>IF(COUNT('Αποτίμηση Μετοχής'!I13,'Υπολογισμοί Κεφαλαίων'!I16)&lt;2,"n.a.",IF(('Υπολογισμοί Κεφαλαίων'!I16)&gt;0,('Αποτίμηση Μετοχής'!I13)/('Υπολογισμοί Κεφαλαίων'!I16),"n.a."))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Αξία επιχείρησης προς EBIT</x:v>
      </x:c>
      <x:c r="D21" s="41" t="str">
        <x:f>IF(COUNT('Αποτίμηση Μετοχής'!D13,'Αποτελέσματα Χρήσης'!D16)&lt;2,"n.a.",IF(('Αποτελέσματα Χρήσης'!D16)&gt;0,('Αποτίμηση Μετοχής'!D13)/('Αποτελέσματα Χρήσης'!D16),"n.a."))</x:f>
        <x:v>n.a.</x:v>
      </x:c>
      <x:c r="E21" s="41" t="str">
        <x:f>IF(COUNT('Αποτίμηση Μετοχής'!E13,'Αποτελέσματα Χρήσης'!E16)&lt;2,"n.a.",IF(('Αποτελέσματα Χρήσης'!E16)&gt;0,('Αποτίμηση Μετοχής'!E13)/('Αποτελέσματα Χρήσης'!E16),"n.a."))</x:f>
        <x:v>n.a.</x:v>
      </x:c>
      <x:c r="F21" s="41" t="str">
        <x:f>IF(COUNT('Αποτίμηση Μετοχής'!F13,'Αποτελέσματα Χρήσης'!F16)&lt;2,"n.a.",IF(('Αποτελέσματα Χρήσης'!F16)&gt;0,('Αποτίμηση Μετοχής'!F13)/('Αποτελέσματα Χρήσης'!F16),"n.a."))</x:f>
        <x:v>n.a.</x:v>
      </x:c>
      <x:c r="G21" s="41" t="str">
        <x:f>IF(COUNT('Αποτίμηση Μετοχής'!G13,'Αποτελέσματα Χρήσης'!G16)&lt;2,"n.a.",IF(('Αποτελέσματα Χρήσης'!G16)&gt;0,('Αποτίμηση Μετοχής'!G13)/('Αποτελέσματα Χρήσης'!G16),"n.a."))</x:f>
        <x:v>n.a.</x:v>
      </x:c>
      <x:c r="H21" s="41" t="str">
        <x:f>IF(COUNT('Αποτίμηση Μετοχής'!H13,'Αποτελέσματα Χρήσης'!H16)&lt;2,"n.a.",IF(('Αποτελέσματα Χρήσης'!H16)&gt;0,('Αποτίμηση Μετοχής'!H13)/('Αποτελέσματα Χρήσης'!H16),"n.a."))</x:f>
        <x:v>n.a.</x:v>
      </x:c>
      <x:c r="I21" s="41" t="str">
        <x:f>IF(COUNT('Αποτίμηση Μετοχής'!I13,'Αποτελέσματα Χρήσης'!I16)&lt;2,"n.a.",IF(('Αποτελέσματα Χρήσης'!I16)&gt;0,('Αποτίμηση Μετοχής'!I13)/('Αποτελέσματα Χρήσης'!I16),"n.a."))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Αξία επιχείρησης προς πωλήσεις</x:v>
      </x:c>
      <x:c r="D22" s="42" t="str">
        <x:f>IF(COUNT('Αποτίμηση Μετοχής'!D13,'Αποτελέσματα Χρήσης'!D8)&lt;2,"n.a.",IF(('Αποτελέσματα Χρήσης'!D8)&gt;0,('Αποτίμηση Μετοχής'!D13)/('Αποτελέσματα Χρήσης'!D8),"n.a."))</x:f>
        <x:v>n.a.</x:v>
      </x:c>
      <x:c r="E22" s="42" t="str">
        <x:f>IF(COUNT('Αποτίμηση Μετοχής'!E13,'Αποτελέσματα Χρήσης'!E8)&lt;2,"n.a.",IF(('Αποτελέσματα Χρήσης'!E8)&gt;0,('Αποτίμηση Μετοχής'!E13)/('Αποτελέσματα Χρήσης'!E8),"n.a."))</x:f>
        <x:v>n.a.</x:v>
      </x:c>
      <x:c r="F22" s="42" t="str">
        <x:f>IF(COUNT('Αποτίμηση Μετοχής'!F13,'Αποτελέσματα Χρήσης'!F8)&lt;2,"n.a.",IF(('Αποτελέσματα Χρήσης'!F8)&gt;0,('Αποτίμηση Μετοχής'!F13)/('Αποτελέσματα Χρήσης'!F8),"n.a."))</x:f>
        <x:v>n.a.</x:v>
      </x:c>
      <x:c r="G22" s="42" t="str">
        <x:f>IF(COUNT('Αποτίμηση Μετοχής'!G13,'Αποτελέσματα Χρήσης'!G8)&lt;2,"n.a.",IF(('Αποτελέσματα Χρήσης'!G8)&gt;0,('Αποτίμηση Μετοχής'!G13)/('Αποτελέσματα Χρήσης'!G8),"n.a."))</x:f>
        <x:v>n.a.</x:v>
      </x:c>
      <x:c r="H22" s="42" t="str">
        <x:f>IF(COUNT('Αποτίμηση Μετοχής'!H13,'Αποτελέσματα Χρήσης'!H8)&lt;2,"n.a.",IF(('Αποτελέσματα Χρήσης'!H8)&gt;0,('Αποτίμηση Μετοχής'!H13)/('Αποτελέσματα Χρήσης'!H8),"n.a."))</x:f>
        <x:v>n.a.</x:v>
      </x:c>
      <x:c r="I22" s="42" t="str">
        <x:f>IF(COUNT('Αποτίμηση Μετοχής'!I13,'Αποτελέσματα Χρήσης'!I8)&lt;2,"n.a.",IF(('Αποτελέσματα Χρήσης'!I8)&gt;0,('Αποτίμηση Μετοχής'!I13)/('Αποτελέσματα Χρήσης'!I8),"n.a."))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Χρηματιστηριακή αξία προς ελεύθερες ροές</x:v>
      </x:c>
      <x:c r="D23" s="41" t="str">
        <x:f>IF(COUNT('Αποτίμηση Μετοχής'!D12,'Υπολογισμοί Κεφαλαίων'!D19)&lt;2,"n.a.",IF(('Υπολογισμοί Κεφαλαίων'!D19)&gt;0,('Αποτίμηση Μετοχής'!D12)/('Υπολογισμοί Κεφαλαίων'!D19),"n.a."))</x:f>
        <x:v>n.a.</x:v>
      </x:c>
      <x:c r="E23" s="41" t="str">
        <x:f>IF(COUNT('Αποτίμηση Μετοχής'!E12,'Υπολογισμοί Κεφαλαίων'!E19)&lt;2,"n.a.",IF(('Υπολογισμοί Κεφαλαίων'!E19)&gt;0,('Αποτίμηση Μετοχής'!E12)/('Υπολογισμοί Κεφαλαίων'!E19),"n.a."))</x:f>
        <x:v>n.a.</x:v>
      </x:c>
      <x:c r="F23" s="41" t="str">
        <x:f>IF(COUNT('Αποτίμηση Μετοχής'!F12,'Υπολογισμοί Κεφαλαίων'!F19)&lt;2,"n.a.",IF(('Υπολογισμοί Κεφαλαίων'!F19)&gt;0,('Αποτίμηση Μετοχής'!F12)/('Υπολογισμοί Κεφαλαίων'!F19),"n.a."))</x:f>
        <x:v>n.a.</x:v>
      </x:c>
      <x:c r="G23" s="41" t="str">
        <x:f>IF(COUNT('Αποτίμηση Μετοχής'!G12,'Υπολογισμοί Κεφαλαίων'!G19)&lt;2,"n.a.",IF(('Υπολογισμοί Κεφαλαίων'!G19)&gt;0,('Αποτίμηση Μετοχής'!G12)/('Υπολογισμοί Κεφαλαίων'!G19),"n.a."))</x:f>
        <x:v>n.a.</x:v>
      </x:c>
      <x:c r="H23" s="41" t="str">
        <x:f>IF(COUNT('Αποτίμηση Μετοχής'!H12,'Υπολογισμοί Κεφαλαίων'!H19)&lt;2,"n.a.",IF(('Υπολογισμοί Κεφαλαίων'!H19)&gt;0,('Αποτίμηση Μετοχής'!H12)/('Υπολογισμοί Κεφαλαίων'!H19),"n.a."))</x:f>
        <x:v>n.a.</x:v>
      </x:c>
      <x:c r="I23" s="41" t="str">
        <x:f>IF(COUNT('Αποτίμηση Μετοχής'!I12,'Υπολογισμοί Κεφαλαίων'!I19)&lt;2,"n.a.",IF(('Υπολογισμοί Κεφαλαίων'!I19)&gt;0,('Αποτίμηση Μετοχής'!I12)/('Υπολογισμοί Κεφαλαίων'!I19),"n.a."))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Απόδοση κερδών</x:v>
      </x:c>
      <x:c r="D24" s="36" t="str">
        <x:f>IF(COUNT('Αποτίμηση Μετοχής'!D8,'Χρηματιστηριακά Δεδομένα'!D7)&lt;2,"n.a.",IF(('Χρηματιστηριακά Δεδομένα'!D7)&gt;0,('Αποτίμηση Μετοχής'!D8)/('Χρηματιστηριακά Δεδομένα'!D7),"n.a."))</x:f>
        <x:v>n.a.</x:v>
      </x:c>
      <x:c r="E24" s="36" t="str">
        <x:f>IF(COUNT('Αποτίμηση Μετοχής'!E8,'Χρηματιστηριακά Δεδομένα'!E7)&lt;2,"n.a.",IF(('Χρηματιστηριακά Δεδομένα'!E7)&gt;0,('Αποτίμηση Μετοχής'!E8)/('Χρηματιστηριακά Δεδομένα'!E7),"n.a."))</x:f>
        <x:v>n.a.</x:v>
      </x:c>
      <x:c r="F24" s="36" t="str">
        <x:f>IF(COUNT('Αποτίμηση Μετοχής'!F8,'Χρηματιστηριακά Δεδομένα'!F7)&lt;2,"n.a.",IF(('Χρηματιστηριακά Δεδομένα'!F7)&gt;0,('Αποτίμηση Μετοχής'!F8)/('Χρηματιστηριακά Δεδομένα'!F7),"n.a."))</x:f>
        <x:v>n.a.</x:v>
      </x:c>
      <x:c r="G24" s="36" t="str">
        <x:f>IF(COUNT('Αποτίμηση Μετοχής'!G8,'Χρηματιστηριακά Δεδομένα'!G7)&lt;2,"n.a.",IF(('Χρηματιστηριακά Δεδομένα'!G7)&gt;0,('Αποτίμηση Μετοχής'!G8)/('Χρηματιστηριακά Δεδομένα'!G7),"n.a."))</x:f>
        <x:v>n.a.</x:v>
      </x:c>
      <x:c r="H24" s="36" t="str">
        <x:f>IF(COUNT('Αποτίμηση Μετοχής'!H8,'Χρηματιστηριακά Δεδομένα'!H7)&lt;2,"n.a.",IF(('Χρηματιστηριακά Δεδομένα'!H7)&gt;0,('Αποτίμηση Μετοχής'!H8)/('Χρηματιστηριακά Δεδομένα'!H7),"n.a."))</x:f>
        <x:v>n.a.</x:v>
      </x:c>
      <x:c r="I24" s="36" t="str">
        <x:f>IF(COUNT('Αποτίμηση Μετοχής'!I8,'Χρηματιστηριακά Δεδομένα'!I7)&lt;2,"n.a.",IF(('Χρηματιστηριακά Δεδομένα'!I7)&gt;0,('Αποτίμηση Μετοχής'!I8)/('Χρηματιστηριακά Δεδομένα'!I7),"n.a."))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Μερισματική απόδοση</x:v>
      </x:c>
      <x:c r="D25" s="37" t="str">
        <x:f>IF(COUNT('Χρηματιστηριακά Δεδομένα'!D12,'Χρηματιστηριακά Δεδομένα'!D7)&lt;2,"n.a.",IF(('Χρηματιστηριακά Δεδομένα'!D7)&gt;0,('Χρηματιστηριακά Δεδομένα'!D12)/('Χρηματιστηριακά Δεδομένα'!D7),"n.a."))</x:f>
        <x:v>n.a.</x:v>
      </x:c>
      <x:c r="E25" s="37" t="str">
        <x:f>IF(COUNT('Χρηματιστηριακά Δεδομένα'!E12,'Χρηματιστηριακά Δεδομένα'!E7)&lt;2,"n.a.",IF(('Χρηματιστηριακά Δεδομένα'!E7)&gt;0,('Χρηματιστηριακά Δεδομένα'!E12)/('Χρηματιστηριακά Δεδομένα'!E7),"n.a."))</x:f>
        <x:v>n.a.</x:v>
      </x:c>
      <x:c r="F25" s="37" t="str">
        <x:f>IF(COUNT('Χρηματιστηριακά Δεδομένα'!F12,'Χρηματιστηριακά Δεδομένα'!F7)&lt;2,"n.a.",IF(('Χρηματιστηριακά Δεδομένα'!F7)&gt;0,('Χρηματιστηριακά Δεδομένα'!F12)/('Χρηματιστηριακά Δεδομένα'!F7),"n.a."))</x:f>
        <x:v>n.a.</x:v>
      </x:c>
      <x:c r="G25" s="37" t="str">
        <x:f>IF(COUNT('Χρηματιστηριακά Δεδομένα'!G12,'Χρηματιστηριακά Δεδομένα'!G7)&lt;2,"n.a.",IF(('Χρηματιστηριακά Δεδομένα'!G7)&gt;0,('Χρηματιστηριακά Δεδομένα'!G12)/('Χρηματιστηριακά Δεδομένα'!G7),"n.a."))</x:f>
        <x:v>n.a.</x:v>
      </x:c>
      <x:c r="H25" s="37" t="str">
        <x:f>IF(COUNT('Χρηματιστηριακά Δεδομένα'!H12,'Χρηματιστηριακά Δεδομένα'!H7)&lt;2,"n.a.",IF(('Χρηματιστηριακά Δεδομένα'!H7)&gt;0,('Χρηματιστηριακά Δεδομένα'!H12)/('Χρηματιστηριακά Δεδομένα'!H7),"n.a."))</x:f>
        <x:v>n.a.</x:v>
      </x:c>
      <x:c r="I25" s="37" t="str">
        <x:f>IF(COUNT('Χρηματιστηριακά Δεδομένα'!I12,'Χρηματιστηριακά Δεδομένα'!I7)&lt;2,"n.a.",IF(('Χρηματιστηριακά Δεδομένα'!I7)&gt;0,('Χρηματιστηριακά Δεδομένα'!I12)/('Χρηματιστηριακά Δεδομένα'!I7),"n.a."))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0" t="str">
        <x:v>Απόδοση ελεύθερων ταμειακών ροών</x:v>
      </x:c>
      <x:c r="D26" s="36" t="str">
        <x:f>IF(COUNT('Υπολογισμοί Κεφαλαίων'!D19,'Αποτίμηση Μετοχής'!D12)&lt;2,"n.a.",IF(('Αποτίμηση Μετοχής'!D12)&gt;0,('Υπολογισμοί Κεφαλαίων'!D19)/('Αποτίμηση Μετοχής'!D12),"n.a."))</x:f>
        <x:v>n.a.</x:v>
      </x:c>
      <x:c r="E26" s="36" t="str">
        <x:f>IF(COUNT('Υπολογισμοί Κεφαλαίων'!E19,'Αποτίμηση Μετοχής'!E12)&lt;2,"n.a.",IF(('Αποτίμηση Μετοχής'!E12)&gt;0,('Υπολογισμοί Κεφαλαίων'!E19)/('Αποτίμηση Μετοχής'!E12),"n.a."))</x:f>
        <x:v>n.a.</x:v>
      </x:c>
      <x:c r="F26" s="36" t="str">
        <x:f>IF(COUNT('Υπολογισμοί Κεφαλαίων'!F19,'Αποτίμηση Μετοχής'!F12)&lt;2,"n.a.",IF(('Αποτίμηση Μετοχής'!F12)&gt;0,('Υπολογισμοί Κεφαλαίων'!F19)/('Αποτίμηση Μετοχής'!F12),"n.a."))</x:f>
        <x:v>n.a.</x:v>
      </x:c>
      <x:c r="G26" s="36" t="str">
        <x:f>IF(COUNT('Υπολογισμοί Κεφαλαίων'!G19,'Αποτίμηση Μετοχής'!G12)&lt;2,"n.a.",IF(('Αποτίμηση Μετοχής'!G12)&gt;0,('Υπολογισμοί Κεφαλαίων'!G19)/('Αποτίμηση Μετοχής'!G12),"n.a."))</x:f>
        <x:v>n.a.</x:v>
      </x:c>
      <x:c r="H26" s="36" t="str">
        <x:f>IF(COUNT('Υπολογισμοί Κεφαλαίων'!H19,'Αποτίμηση Μετοχής'!H12)&lt;2,"n.a.",IF(('Αποτίμηση Μετοχής'!H12)&gt;0,('Υπολογισμοί Κεφαλαίων'!H19)/('Αποτίμηση Μετοχής'!H12),"n.a."))</x:f>
        <x:v>n.a.</x:v>
      </x:c>
      <x:c r="I26" s="36" t="str">
        <x:f>IF(COUNT('Υπολογισμοί Κεφαλαίων'!I19,'Αποτίμηση Μετοχής'!I12)&lt;2,"n.a.",IF(('Αποτίμηση Μετοχής'!I12)&gt;0,('Υπολογισμοί Κεφαλαίων'!I19)/('Αποτίμηση Μετοχής'!I12),"n.a."))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Ποσοστό διανομής κερδών κοινών μετόχων</x:v>
      </x:c>
      <x:c r="D27" s="37" t="str">
        <x:f>IF(COUNT('Χρηματιστηριακά Δεδομένα'!D14,'Υπολογισμοί Κεφαλαίων'!D15)&lt;2,"n.a.",IF(('Υπολογισμοί Κεφαλαίων'!D15)&gt;0,('Χρηματιστηριακά Δεδομένα'!D14)/('Υπολογισμοί Κεφαλαίων'!D15),"n.a."))</x:f>
        <x:v>n.a.</x:v>
      </x:c>
      <x:c r="E27" s="37" t="str">
        <x:f>IF(COUNT('Χρηματιστηριακά Δεδομένα'!E14,'Υπολογισμοί Κεφαλαίων'!E15)&lt;2,"n.a.",IF(('Υπολογισμοί Κεφαλαίων'!E15)&gt;0,('Χρηματιστηριακά Δεδομένα'!E14)/('Υπολογισμοί Κεφαλαίων'!E15),"n.a."))</x:f>
        <x:v>n.a.</x:v>
      </x:c>
      <x:c r="F27" s="37" t="str">
        <x:f>IF(COUNT('Χρηματιστηριακά Δεδομένα'!F14,'Υπολογισμοί Κεφαλαίων'!F15)&lt;2,"n.a.",IF(('Υπολογισμοί Κεφαλαίων'!F15)&gt;0,('Χρηματιστηριακά Δεδομένα'!F14)/('Υπολογισμοί Κεφαλαίων'!F15),"n.a."))</x:f>
        <x:v>n.a.</x:v>
      </x:c>
      <x:c r="G27" s="37" t="str">
        <x:f>IF(COUNT('Χρηματιστηριακά Δεδομένα'!G14,'Υπολογισμοί Κεφαλαίων'!G15)&lt;2,"n.a.",IF(('Υπολογισμοί Κεφαλαίων'!G15)&gt;0,('Χρηματιστηριακά Δεδομένα'!G14)/('Υπολογισμοί Κεφαλαίων'!G15),"n.a."))</x:f>
        <x:v>n.a.</x:v>
      </x:c>
      <x:c r="H27" s="37" t="str">
        <x:f>IF(COUNT('Χρηματιστηριακά Δεδομένα'!H14,'Υπολογισμοί Κεφαλαίων'!H15)&lt;2,"n.a.",IF(('Υπολογισμοί Κεφαλαίων'!H15)&gt;0,('Χρηματιστηριακά Δεδομένα'!H14)/('Υπολογισμοί Κεφαλαίων'!H15),"n.a."))</x:f>
        <x:v>n.a.</x:v>
      </x:c>
      <x:c r="I27" s="37" t="str">
        <x:f>IF(COUNT('Χρηματιστηριακά Δεδομένα'!I14,'Υπολογισμοί Κεφαλαίων'!I15)&lt;2,"n.a.",IF(('Υπολογισμοί Κεφαλαίων'!I15)&gt;0,('Χρηματιστηριακά Δεδομένα'!I14)/('Υπολογισμοί Κεφαλαίων'!I15),"n.a."))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0" t="str">
        <x:v>Απόδοση κερδών προς απόδοση ομολόγου</x:v>
      </x:c>
      <x:c r="D28" s="42" t="str">
        <x:f>IF(COUNT('Αποτίμηση Μετοχής'!D24,'Χρηματιστηριακά Δεδομένα'!D19)&lt;2,"n.a.",IF(('Χρηματιστηριακά Δεδομένα'!D19)&gt;0,('Αποτίμηση Μετοχής'!D24)/('Χρηματιστηριακά Δεδομένα'!D19),"n.a."))</x:f>
        <x:v>n.a.</x:v>
      </x:c>
      <x:c r="E28" s="42" t="str">
        <x:f>IF(COUNT('Αποτίμηση Μετοχής'!E24,'Χρηματιστηριακά Δεδομένα'!E19)&lt;2,"n.a.",IF(('Χρηματιστηριακά Δεδομένα'!E19)&gt;0,('Αποτίμηση Μετοχής'!E24)/('Χρηματιστηριακά Δεδομένα'!E19),"n.a."))</x:f>
        <x:v>n.a.</x:v>
      </x:c>
      <x:c r="F28" s="42" t="str">
        <x:f>IF(COUNT('Αποτίμηση Μετοχής'!F24,'Χρηματιστηριακά Δεδομένα'!F19)&lt;2,"n.a.",IF(('Χρηματιστηριακά Δεδομένα'!F19)&gt;0,('Αποτίμηση Μετοχής'!F24)/('Χρηματιστηριακά Δεδομένα'!F19),"n.a."))</x:f>
        <x:v>n.a.</x:v>
      </x:c>
      <x:c r="G28" s="42" t="str">
        <x:f>IF(COUNT('Αποτίμηση Μετοχής'!G24,'Χρηματιστηριακά Δεδομένα'!G19)&lt;2,"n.a.",IF(('Χρηματιστηριακά Δεδομένα'!G19)&gt;0,('Αποτίμηση Μετοχής'!G24)/('Χρηματιστηριακά Δεδομένα'!G19),"n.a."))</x:f>
        <x:v>n.a.</x:v>
      </x:c>
      <x:c r="H28" s="42" t="str">
        <x:f>IF(COUNT('Αποτίμηση Μετοχής'!H24,'Χρηματιστηριακά Δεδομένα'!H19)&lt;2,"n.a.",IF(('Χρηματιστηριακά Δεδομένα'!H19)&gt;0,('Αποτίμηση Μετοχής'!H24)/('Χρηματιστηριακά Δεδομένα'!H19),"n.a."))</x:f>
        <x:v>n.a.</x:v>
      </x:c>
      <x:c r="I28" s="42" t="str">
        <x:f>IF(COUNT('Αποτίμηση Μετοχής'!I24,'Χρηματιστηριακά Δεδομένα'!I19)&lt;2,"n.a.",IF(('Χρηματιστηριακά Δεδομένα'!I19)&gt;0,('Αποτίμηση Μετοχής'!I24)/('Χρηματιστηριακά Δεδομένα'!I19),"n.a."))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0" t="str">
        <x:v>Μερισματική απόδοση προς απόδοση ομολόγου</x:v>
      </x:c>
      <x:c r="D29" s="41" t="str">
        <x:f>IF(COUNT('Αποτίμηση Μετοχής'!D25,'Χρηματιστηριακά Δεδομένα'!D19)&lt;2,"n.a.",IF(('Χρηματιστηριακά Δεδομένα'!D19)&gt;0,('Αποτίμηση Μετοχής'!D25)/('Χρηματιστηριακά Δεδομένα'!D19),"n.a."))</x:f>
        <x:v>n.a.</x:v>
      </x:c>
      <x:c r="E29" s="41" t="str">
        <x:f>IF(COUNT('Αποτίμηση Μετοχής'!E25,'Χρηματιστηριακά Δεδομένα'!E19)&lt;2,"n.a.",IF(('Χρηματιστηριακά Δεδομένα'!E19)&gt;0,('Αποτίμηση Μετοχής'!E25)/('Χρηματιστηριακά Δεδομένα'!E19),"n.a."))</x:f>
        <x:v>n.a.</x:v>
      </x:c>
      <x:c r="F29" s="41" t="str">
        <x:f>IF(COUNT('Αποτίμηση Μετοχής'!F25,'Χρηματιστηριακά Δεδομένα'!F19)&lt;2,"n.a.",IF(('Χρηματιστηριακά Δεδομένα'!F19)&gt;0,('Αποτίμηση Μετοχής'!F25)/('Χρηματιστηριακά Δεδομένα'!F19),"n.a."))</x:f>
        <x:v>n.a.</x:v>
      </x:c>
      <x:c r="G29" s="41" t="str">
        <x:f>IF(COUNT('Αποτίμηση Μετοχής'!G25,'Χρηματιστηριακά Δεδομένα'!G19)&lt;2,"n.a.",IF(('Χρηματιστηριακά Δεδομένα'!G19)&gt;0,('Αποτίμηση Μετοχής'!G25)/('Χρηματιστηριακά Δεδομένα'!G19),"n.a."))</x:f>
        <x:v>n.a.</x:v>
      </x:c>
      <x:c r="H29" s="41" t="str">
        <x:f>IF(COUNT('Αποτίμηση Μετοχής'!H25,'Χρηματιστηριακά Δεδομένα'!H19)&lt;2,"n.a.",IF(('Χρηματιστηριακά Δεδομένα'!H19)&gt;0,('Αποτίμηση Μετοχής'!H25)/('Χρηματιστηριακά Δεδομένα'!H19),"n.a."))</x:f>
        <x:v>n.a.</x:v>
      </x:c>
      <x:c r="I29" s="41" t="str">
        <x:f>IF(COUNT('Αποτίμηση Μετοχής'!I25,'Χρηματιστηριακά Δεδομένα'!I19)&lt;2,"n.a.",IF(('Χρηματιστηριακά Δεδομένα'!I19)&gt;0,('Αποτίμηση Μετοχής'!I25)/('Χρηματιστηριακά Δεδομένα'!I19),"n.a."))</x:f>
        <x:v>n.a.</x:v>
      </x:c>
      <x:c r="J29" s="2"/>
      <x:c r="K29" s="2"/>
      <x:c r="L29" s="2"/>
      <x:c r="M29" s="2"/>
    </x:row>
    <x:row r="30" ht="23" customHeight="1">
      <x:c r="A30" s="1"/>
      <x:c r="B30" s="1"/>
      <x:c r="C30" s="20" t="str">
        <x:v>Ποσοστό παρακράτησης κερδών</x:v>
      </x:c>
      <x:c r="D30" s="36" t="str">
        <x:f>IF(COUNT('Αποτίμηση Μετοχής'!D27)&lt;1,"n.a.",IF(TRUE,1-'Αποτίμηση Μετοχής'!D27,"n.a."))</x:f>
        <x:v>n.a.</x:v>
      </x:c>
      <x:c r="E30" s="36" t="str">
        <x:f>IF(COUNT('Αποτίμηση Μετοχής'!E27)&lt;1,"n.a.",IF(TRUE,1-'Αποτίμηση Μετοχής'!E27,"n.a."))</x:f>
        <x:v>n.a.</x:v>
      </x:c>
      <x:c r="F30" s="36" t="str">
        <x:f>IF(COUNT('Αποτίμηση Μετοχής'!F27)&lt;1,"n.a.",IF(TRUE,1-'Αποτίμηση Μετοχής'!F27,"n.a."))</x:f>
        <x:v>n.a.</x:v>
      </x:c>
      <x:c r="G30" s="36" t="str">
        <x:f>IF(COUNT('Αποτίμηση Μετοχής'!G27)&lt;1,"n.a.",IF(TRUE,1-'Αποτίμηση Μετοχής'!G27,"n.a."))</x:f>
        <x:v>n.a.</x:v>
      </x:c>
      <x:c r="H30" s="36" t="str">
        <x:f>IF(COUNT('Αποτίμηση Μετοχής'!H27)&lt;1,"n.a.",IF(TRUE,1-'Αποτίμηση Μετοχής'!H27,"n.a."))</x:f>
        <x:v>n.a.</x:v>
      </x:c>
      <x:c r="I30" s="36" t="str">
        <x:f>IF(COUNT('Αποτίμηση Μετοχής'!I27)&lt;1,"n.a.",IF(TRUE,1-'Αποτίμηση Μετοχής'!I27,"n.a."))</x:f>
        <x:v>n.a.</x:v>
      </x:c>
      <x:c r="J30" s="2"/>
      <x:c r="K30" s="2"/>
      <x:c r="L30" s="2"/>
      <x:c r="M30" s="2"/>
    </x:row>
    <x:row r="31" ht="23" customHeight="1">
      <x:c r="A31" s="1"/>
      <x:c r="B31" s="1"/>
      <x:c r="C31" s="20" t="str">
        <x:v>Προσέγγιση διατηρήσιμης ανάπτυξης</x:v>
      </x:c>
      <x:c r="D31" s="37" t="str">
        <x:f>IF(COUNT('Αποτίμηση Μετοχής'!D30,'Κερδοφορία'!D16)&lt;2,"n.a.",IF(TRUE,'Αποτίμηση Μετοχής'!D30*'Κερδοφορία'!D16,"n.a."))</x:f>
        <x:v>n.a.</x:v>
      </x:c>
      <x:c r="E31" s="37" t="str">
        <x:f>IF(COUNT('Αποτίμηση Μετοχής'!E30,'Κερδοφορία'!E16)&lt;2,"n.a.",IF(TRUE,'Αποτίμηση Μετοχής'!E30*'Κερδοφορία'!E16,"n.a."))</x:f>
        <x:v>n.a.</x:v>
      </x:c>
      <x:c r="F31" s="37" t="str">
        <x:f>IF(COUNT('Αποτίμηση Μετοχής'!F30,'Κερδοφορία'!F16)&lt;2,"n.a.",IF(TRUE,'Αποτίμηση Μετοχής'!F30*'Κερδοφορία'!F16,"n.a."))</x:f>
        <x:v>n.a.</x:v>
      </x:c>
      <x:c r="G31" s="37" t="str">
        <x:f>IF(COUNT('Αποτίμηση Μετοχής'!G30,'Κερδοφορία'!G16)&lt;2,"n.a.",IF(TRUE,'Αποτίμηση Μετοχής'!G30*'Κερδοφορία'!G16,"n.a."))</x:f>
        <x:v>n.a.</x:v>
      </x:c>
      <x:c r="H31" s="37" t="str">
        <x:f>IF(COUNT('Αποτίμηση Μετοχής'!H30,'Κερδοφορία'!H16)&lt;2,"n.a.",IF(TRUE,'Αποτίμηση Μετοχής'!H30*'Κερδοφορία'!H16,"n.a."))</x:f>
        <x:v>n.a.</x:v>
      </x:c>
      <x:c r="I31" s="37" t="str">
        <x:f>IF(COUNT('Αποτίμηση Μετοχής'!I30,'Κερδοφορία'!I16)&lt;2,"n.a.",IF(TRUE,'Αποτίμηση Μετοχής'!I30*'Κερδοφορία'!I16,"n.a."))</x:f>
        <x:v>n.a.</x:v>
      </x:c>
      <x:c r="J31" s="2"/>
      <x:c r="K31" s="2" t="str">
        <x:v>ROE κοινών μετόχων επί παρακράτηση. Υποθέτει σταθερή χρηματοδότηση και κερδοφορία.</x:v>
      </x:c>
      <x:c r="L31" s="2"/>
      <x:c r="M31" s="2"/>
    </x:row>
    <x:row r="32" ht="23" customHeight="1">
      <x:c r="A32" s="1"/>
      <x:c r="B32" s="1"/>
      <x:c r="C32" s="2" t="str">
        <x:v>Μέσα βασικά κέρδη ανά μετοχή τριετίας</x:v>
      </x:c>
      <x:c r="D32" s="45" t="str">
        <x:f>"n.a."</x:f>
        <x:v>n.a.</x:v>
      </x:c>
      <x:c r="E32" s="45" t="str">
        <x:f>"n.a."</x:f>
        <x:v>n.a.</x:v>
      </x:c>
      <x:c r="F32" s="45" t="str">
        <x:f>IF(COUNT('Αποτίμηση Μετοχής'!F8,'Αποτίμηση Μετοχής'!E8,'Αποτίμηση Μετοχής'!D8)&lt;3,"n.a.",IF(TRUE,('Αποτίμηση Μετοχής'!F8+'Αποτίμηση Μετοχής'!E8+'Αποτίμηση Μετοχής'!D8)/3,"n.a."))</x:f>
        <x:v>n.a.</x:v>
      </x:c>
      <x:c r="G32" s="45" t="str">
        <x:f>IF(COUNT('Αποτίμηση Μετοχής'!G8,'Αποτίμηση Μετοχής'!F8,'Αποτίμηση Μετοχής'!E8)&lt;3,"n.a.",IF(TRUE,('Αποτίμηση Μετοχής'!G8+'Αποτίμηση Μετοχής'!F8+'Αποτίμηση Μετοχής'!E8)/3,"n.a."))</x:f>
        <x:v>n.a.</x:v>
      </x:c>
      <x:c r="H32" s="45" t="str">
        <x:f>IF(COUNT('Αποτίμηση Μετοχής'!H8,'Αποτίμηση Μετοχής'!G8,'Αποτίμηση Μετοχής'!F8)&lt;3,"n.a.",IF(TRUE,('Αποτίμηση Μετοχής'!H8+'Αποτίμηση Μετοχής'!G8+'Αποτίμηση Μετοχής'!F8)/3,"n.a."))</x:f>
        <x:v>n.a.</x:v>
      </x:c>
      <x:c r="I32" s="45" t="str">
        <x:f>IF(COUNT('Αποτίμηση Μετοχής'!I8,'Αποτίμηση Μετοχής'!H8,'Αποτίμηση Μετοχής'!G8)&lt;3,"n.a.",IF(TRUE,('Αποτίμηση Μετοχής'!I8+'Αποτίμηση Μετοχής'!H8+'Αποτίμηση Μετοχής'!G8)/3,"n.a."))</x:f>
        <x:v>n.a.</x:v>
      </x:c>
      <x:c r="J32" s="2"/>
      <x:c r="K32" s="2" t="str">
        <x:v>Απαιτεί τρεις χρήσεις και συνεπείς προσαρμογές μετοχών.</x:v>
      </x:c>
      <x:c r="L32" s="2"/>
      <x:c r="M32" s="2"/>
    </x:row>
    <x:row r="33" ht="23" customHeight="1">
      <x:c r="A33" s="1"/>
      <x:c r="B33" s="1"/>
      <x:c r="C33" s="20" t="str">
        <x:v>Τιμή προς μέσα κέρδη ανά μετοχή τριετίας</x:v>
      </x:c>
      <x:c r="D33" s="41" t="str">
        <x:f>IF(COUNT('Χρηματιστηριακά Δεδομένα'!D7,'Αποτίμηση Μετοχής'!D32)&lt;2,"n.a.",IF(('Αποτίμηση Μετοχής'!D32)&gt;0,('Χρηματιστηριακά Δεδομένα'!D7)/('Αποτίμηση Μετοχής'!D32),"n.a."))</x:f>
        <x:v>n.a.</x:v>
      </x:c>
      <x:c r="E33" s="41" t="str">
        <x:f>IF(COUNT('Χρηματιστηριακά Δεδομένα'!E7,'Αποτίμηση Μετοχής'!E32)&lt;2,"n.a.",IF(('Αποτίμηση Μετοχής'!E32)&gt;0,('Χρηματιστηριακά Δεδομένα'!E7)/('Αποτίμηση Μετοχής'!E32),"n.a."))</x:f>
        <x:v>n.a.</x:v>
      </x:c>
      <x:c r="F33" s="41" t="str">
        <x:f>IF(COUNT('Χρηματιστηριακά Δεδομένα'!F7,'Αποτίμηση Μετοχής'!F32)&lt;2,"n.a.",IF(('Αποτίμηση Μετοχής'!F32)&gt;0,('Χρηματιστηριακά Δεδομένα'!F7)/('Αποτίμηση Μετοχής'!F32),"n.a."))</x:f>
        <x:v>n.a.</x:v>
      </x:c>
      <x:c r="G33" s="41" t="str">
        <x:f>IF(COUNT('Χρηματιστηριακά Δεδομένα'!G7,'Αποτίμηση Μετοχής'!G32)&lt;2,"n.a.",IF(('Αποτίμηση Μετοχής'!G32)&gt;0,('Χρηματιστηριακά Δεδομένα'!G7)/('Αποτίμηση Μετοχής'!G32),"n.a."))</x:f>
        <x:v>n.a.</x:v>
      </x:c>
      <x:c r="H33" s="41" t="str">
        <x:f>IF(COUNT('Χρηματιστηριακά Δεδομένα'!H7,'Αποτίμηση Μετοχής'!H32)&lt;2,"n.a.",IF(('Αποτίμηση Μετοχής'!H32)&gt;0,('Χρηματιστηριακά Δεδομένα'!H7)/('Αποτίμηση Μετοχής'!H32),"n.a."))</x:f>
        <x:v>n.a.</x:v>
      </x:c>
      <x:c r="I33" s="41" t="str">
        <x:f>IF(COUNT('Χρηματιστηριακά Δεδομένα'!I7,'Αποτίμηση Μετοχής'!I32)&lt;2,"n.a.",IF(('Αποτίμηση Μετοχής'!I32)&gt;0,('Χρηματιστηριακά Δεδομένα'!I7)/('Αποτίμηση Μετοχής'!I32),"n.a."))</x:f>
        <x:v>n.a.</x:v>
      </x:c>
      <x:c r="J33" s="2"/>
      <x:c r="K33" s="2"/>
      <x:c r="L33" s="2"/>
      <x:c r="M33" s="2"/>
    </x:row>
    <x:row r="34" ht="23" customHeight="1">
      <x:c r="A34" s="1"/>
      <x:c r="B34" s="1"/>
      <x:c r="C34" s="20" t="str">
        <x:v>Απόδοση μέσων κερδών τριετίας</x:v>
      </x:c>
      <x:c r="D34" s="36" t="str">
        <x:f>IF(COUNT('Αποτίμηση Μετοχής'!D32,'Χρηματιστηριακά Δεδομένα'!D7)&lt;2,"n.a.",IF(('Χρηματιστηριακά Δεδομένα'!D7)&gt;0,('Αποτίμηση Μετοχής'!D32)/('Χρηματιστηριακά Δεδομένα'!D7),"n.a."))</x:f>
        <x:v>n.a.</x:v>
      </x:c>
      <x:c r="E34" s="36" t="str">
        <x:f>IF(COUNT('Αποτίμηση Μετοχής'!E32,'Χρηματιστηριακά Δεδομένα'!E7)&lt;2,"n.a.",IF(('Χρηματιστηριακά Δεδομένα'!E7)&gt;0,('Αποτίμηση Μετοχής'!E32)/('Χρηματιστηριακά Δεδομένα'!E7),"n.a."))</x:f>
        <x:v>n.a.</x:v>
      </x:c>
      <x:c r="F34" s="36" t="str">
        <x:f>IF(COUNT('Αποτίμηση Μετοχής'!F32,'Χρηματιστηριακά Δεδομένα'!F7)&lt;2,"n.a.",IF(('Χρηματιστηριακά Δεδομένα'!F7)&gt;0,('Αποτίμηση Μετοχής'!F32)/('Χρηματιστηριακά Δεδομένα'!F7),"n.a."))</x:f>
        <x:v>n.a.</x:v>
      </x:c>
      <x:c r="G34" s="36" t="str">
        <x:f>IF(COUNT('Αποτίμηση Μετοχής'!G32,'Χρηματιστηριακά Δεδομένα'!G7)&lt;2,"n.a.",IF(('Χρηματιστηριακά Δεδομένα'!G7)&gt;0,('Αποτίμηση Μετοχής'!G32)/('Χρηματιστηριακά Δεδομένα'!G7),"n.a."))</x:f>
        <x:v>n.a.</x:v>
      </x:c>
      <x:c r="H34" s="36" t="str">
        <x:f>IF(COUNT('Αποτίμηση Μετοχής'!H32,'Χρηματιστηριακά Δεδομένα'!H7)&lt;2,"n.a.",IF(('Χρηματιστηριακά Δεδομένα'!H7)&gt;0,('Αποτίμηση Μετοχής'!H32)/('Χρηματιστηριακά Δεδομένα'!H7),"n.a."))</x:f>
        <x:v>n.a.</x:v>
      </x:c>
      <x:c r="I34" s="36" t="str">
        <x:f>IF(COUNT('Αποτίμηση Μετοχής'!I32,'Χρηματιστηριακά Δεδομένα'!I7)&lt;2,"n.a.",IF(('Χρηματιστηριακά Δεδομένα'!I7)&gt;0,('Αποτίμηση Μετοχής'!I32)/('Χρηματιστηριακά Δεδομένα'!I7),"n.a."))</x:f>
        <x:v>n.a.</x:v>
      </x:c>
      <x:c r="J34" s="2"/>
      <x:c r="K34" s="2"/>
      <x:c r="L34" s="2"/>
      <x:c r="M34" s="2"/>
    </x:row>
    <x:row r="35" ht="25" customHeight="1">
      <x:c r="A35" s="1"/>
      <x:c r="B35" s="1"/>
      <x:c r="C35" s="34" t="str">
        <x:v>Εκτιμήσεις τιμής από επιλεγμένους πολλαπλασιαστές</x:v>
      </x:c>
      <x:c r="D35" s="34"/>
      <x:c r="E35" s="34"/>
      <x:c r="F35" s="34"/>
      <x:c r="G35" s="34"/>
      <x:c r="H35" s="34"/>
      <x:c r="I35" s="34"/>
      <x:c r="J35" s="2"/>
      <x:c r="K35" s="2"/>
      <x:c r="L35" s="2"/>
      <x:c r="M35" s="2"/>
    </x:row>
    <x:row r="36" ht="23" customHeight="1">
      <x:c r="A36" s="1"/>
      <x:c r="B36" s="1"/>
      <x:c r="C36" s="2" t="str">
        <x:v>Εκτίμηση τιμής με επιλεγμένο P/E</x:v>
      </x:c>
      <x:c r="D36" s="45" t="str">
        <x:f>IF(COUNT('Αποτίμηση Μετοχής'!D8,'Χρηματιστηριακά Δεδομένα'!D24)&lt;2,"n.a.",IF(AND('Αποτίμηση Μετοχής'!D8&gt;0,'Χρηματιστηριακά Δεδομένα'!D24&gt;0),'Αποτίμηση Μετοχής'!D8*'Χρηματιστηριακά Δεδομένα'!D24,"n.a."))</x:f>
        <x:v>n.a.</x:v>
      </x:c>
      <x:c r="E36" s="45" t="str">
        <x:f>IF(COUNT('Αποτίμηση Μετοχής'!E8,'Χρηματιστηριακά Δεδομένα'!E24)&lt;2,"n.a.",IF(AND('Αποτίμηση Μετοχής'!E8&gt;0,'Χρηματιστηριακά Δεδομένα'!E24&gt;0),'Αποτίμηση Μετοχής'!E8*'Χρηματιστηριακά Δεδομένα'!E24,"n.a."))</x:f>
        <x:v>n.a.</x:v>
      </x:c>
      <x:c r="F36" s="45" t="str">
        <x:f>IF(COUNT('Αποτίμηση Μετοχής'!F8,'Χρηματιστηριακά Δεδομένα'!F24)&lt;2,"n.a.",IF(AND('Αποτίμηση Μετοχής'!F8&gt;0,'Χρηματιστηριακά Δεδομένα'!F24&gt;0),'Αποτίμηση Μετοχής'!F8*'Χρηματιστηριακά Δεδομένα'!F24,"n.a."))</x:f>
        <x:v>n.a.</x:v>
      </x:c>
      <x:c r="G36" s="45" t="str">
        <x:f>IF(COUNT('Αποτίμηση Μετοχής'!G8,'Χρηματιστηριακά Δεδομένα'!G24)&lt;2,"n.a.",IF(AND('Αποτίμηση Μετοχής'!G8&gt;0,'Χρηματιστηριακά Δεδομένα'!G24&gt;0),'Αποτίμηση Μετοχής'!G8*'Χρηματιστηριακά Δεδομένα'!G24,"n.a."))</x:f>
        <x:v>n.a.</x:v>
      </x:c>
      <x:c r="H36" s="45" t="str">
        <x:f>IF(COUNT('Αποτίμηση Μετοχής'!H8,'Χρηματιστηριακά Δεδομένα'!H24)&lt;2,"n.a.",IF(AND('Αποτίμηση Μετοχής'!H8&gt;0,'Χρηματιστηριακά Δεδομένα'!H24&gt;0),'Αποτίμηση Μετοχής'!H8*'Χρηματιστηριακά Δεδομένα'!H24,"n.a."))</x:f>
        <x:v>n.a.</x:v>
      </x:c>
      <x:c r="I36" s="45" t="str">
        <x:f>IF(COUNT('Αποτίμηση Μετοχής'!I8,'Χρηματιστηριακά Δεδομένα'!I24)&lt;2,"n.a.",IF(AND('Αποτίμηση Μετοχής'!I8&gt;0,'Χρηματιστηριακά Δεδομένα'!I24&gt;0),'Αποτίμηση Μετοχής'!I8*'Χρηματιστηριακά Δεδομένα'!I24,"n.a."))</x:f>
        <x:v>n.a.</x:v>
      </x:c>
      <x:c r="J36" s="2"/>
      <x:c r="K36" s="2" t="str">
        <x:v>Πολλαπλασιαστής επιλογής αναλυτή, όχι εγγυημένη εσωτερική αξία.</x:v>
      </x:c>
      <x:c r="L36" s="2"/>
      <x:c r="M36" s="2"/>
    </x:row>
    <x:row r="37" ht="23" customHeight="1">
      <x:c r="A37" s="1"/>
      <x:c r="B37" s="1"/>
      <x:c r="C37" s="2" t="str">
        <x:v>Εκτίμηση τιμής με επιλεγμένο P/B</x:v>
      </x:c>
      <x:c r="D37" s="46" t="str">
        <x:f>IF(COUNT('Αποτίμηση Μετοχής'!D10,'Χρηματιστηριακά Δεδομένα'!D25)&lt;2,"n.a.",IF(AND('Αποτίμηση Μετοχής'!D10&gt;0,'Χρηματιστηριακά Δεδομένα'!D25&gt;0),'Αποτίμηση Μετοχής'!D10*'Χρηματιστηριακά Δεδομένα'!D25,"n.a."))</x:f>
        <x:v>n.a.</x:v>
      </x:c>
      <x:c r="E37" s="46" t="str">
        <x:f>IF(COUNT('Αποτίμηση Μετοχής'!E10,'Χρηματιστηριακά Δεδομένα'!E25)&lt;2,"n.a.",IF(AND('Αποτίμηση Μετοχής'!E10&gt;0,'Χρηματιστηριακά Δεδομένα'!E25&gt;0),'Αποτίμηση Μετοχής'!E10*'Χρηματιστηριακά Δεδομένα'!E25,"n.a."))</x:f>
        <x:v>n.a.</x:v>
      </x:c>
      <x:c r="F37" s="46" t="str">
        <x:f>IF(COUNT('Αποτίμηση Μετοχής'!F10,'Χρηματιστηριακά Δεδομένα'!F25)&lt;2,"n.a.",IF(AND('Αποτίμηση Μετοχής'!F10&gt;0,'Χρηματιστηριακά Δεδομένα'!F25&gt;0),'Αποτίμηση Μετοχής'!F10*'Χρηματιστηριακά Δεδομένα'!F25,"n.a."))</x:f>
        <x:v>n.a.</x:v>
      </x:c>
      <x:c r="G37" s="46" t="str">
        <x:f>IF(COUNT('Αποτίμηση Μετοχής'!G10,'Χρηματιστηριακά Δεδομένα'!G25)&lt;2,"n.a.",IF(AND('Αποτίμηση Μετοχής'!G10&gt;0,'Χρηματιστηριακά Δεδομένα'!G25&gt;0),'Αποτίμηση Μετοχής'!G10*'Χρηματιστηριακά Δεδομένα'!G25,"n.a."))</x:f>
        <x:v>n.a.</x:v>
      </x:c>
      <x:c r="H37" s="46" t="str">
        <x:f>IF(COUNT('Αποτίμηση Μετοχής'!H10,'Χρηματιστηριακά Δεδομένα'!H25)&lt;2,"n.a.",IF(AND('Αποτίμηση Μετοχής'!H10&gt;0,'Χρηματιστηριακά Δεδομένα'!H25&gt;0),'Αποτίμηση Μετοχής'!H10*'Χρηματιστηριακά Δεδομένα'!H25,"n.a."))</x:f>
        <x:v>n.a.</x:v>
      </x:c>
      <x:c r="I37" s="46" t="str">
        <x:f>IF(COUNT('Αποτίμηση Μετοχής'!I10,'Χρηματιστηριακά Δεδομένα'!I25)&lt;2,"n.a.",IF(AND('Αποτίμηση Μετοχής'!I10&gt;0,'Χρηματιστηριακά Δεδομένα'!I25&gt;0),'Αποτίμηση Μετοχής'!I10*'Χρηματιστηριακά Δεδομένα'!I25,"n.a."))</x:f>
        <x:v>n.a.</x:v>
      </x:c>
      <x:c r="J37" s="2"/>
      <x:c r="K37" s="2"/>
      <x:c r="L37" s="2"/>
      <x:c r="M37" s="2"/>
    </x:row>
    <x:row r="38" ht="23" customHeight="1">
      <x:c r="A38" s="1"/>
      <x:c r="B38" s="1"/>
      <x:c r="C38" s="2" t="str">
        <x:v>Εκτίμηση τιμής με επιλεγμένο EV/EBITDA</x:v>
      </x:c>
      <x:c r="D38" s="45" t="str">
        <x:f>IF(COUNT('Υπολογισμοί Κεφαλαίων'!D16,'Χρηματιστηριακά Δεδομένα'!D26,'Υπολογισμοί Κεφαλαίων'!D9,'Χρηματιστηριακά Δεδομένα'!D15,'Χρηματιστηριακά Δεδομένα'!D16,'Ρυθμίσεις'!$E$10,'Χρηματιστηριακά Δεδομένα'!D8,'Ρυθμίσεις'!$E$11)&lt;8,"n.a.",IF(AND('Υπολογισμοί Κεφαλαίων'!D16&gt;0,'Χρηματιστηριακά Δεδομένα'!D26&gt;0,'Χρηματιστηριακά Δεδομένα'!D8&gt;0,'Ρυθμίσεις'!$E$11&gt;0),('Υπολογισμοί Κεφαλαίων'!D16*'Χρηματιστηριακά Δεδομένα'!D26-'Υπολογισμοί Κεφαλαίων'!D9-'Χρηματιστηριακά Δεδομένα'!D15-'Χρηματιστηριακά Δεδομένα'!D16)*'Ρυθμίσεις'!$E$10/('Χρηματιστηριακά Δεδομένα'!D8*'Ρυθμίσεις'!$E$11),"n.a."))</x:f>
        <x:v>n.a.</x:v>
      </x:c>
      <x:c r="E38" s="45" t="str">
        <x:f>IF(COUNT('Υπολογισμοί Κεφαλαίων'!E16,'Χρηματιστηριακά Δεδομένα'!E26,'Υπολογισμοί Κεφαλαίων'!E9,'Χρηματιστηριακά Δεδομένα'!E15,'Χρηματιστηριακά Δεδομένα'!E16,'Ρυθμίσεις'!$E$10,'Χρηματιστηριακά Δεδομένα'!E8,'Ρυθμίσεις'!$E$11)&lt;8,"n.a.",IF(AND('Υπολογισμοί Κεφαλαίων'!E16&gt;0,'Χρηματιστηριακά Δεδομένα'!E26&gt;0,'Χρηματιστηριακά Δεδομένα'!E8&gt;0,'Ρυθμίσεις'!$E$11&gt;0),('Υπολογισμοί Κεφαλαίων'!E16*'Χρηματιστηριακά Δεδομένα'!E26-'Υπολογισμοί Κεφαλαίων'!E9-'Χρηματιστηριακά Δεδομένα'!E15-'Χρηματιστηριακά Δεδομένα'!E16)*'Ρυθμίσεις'!$E$10/('Χρηματιστηριακά Δεδομένα'!E8*'Ρυθμίσεις'!$E$11),"n.a."))</x:f>
        <x:v>n.a.</x:v>
      </x:c>
      <x:c r="F38" s="45" t="str">
        <x:f>IF(COUNT('Υπολογισμοί Κεφαλαίων'!F16,'Χρηματιστηριακά Δεδομένα'!F26,'Υπολογισμοί Κεφαλαίων'!F9,'Χρηματιστηριακά Δεδομένα'!F15,'Χρηματιστηριακά Δεδομένα'!F16,'Ρυθμίσεις'!$E$10,'Χρηματιστηριακά Δεδομένα'!F8,'Ρυθμίσεις'!$E$11)&lt;8,"n.a.",IF(AND('Υπολογισμοί Κεφαλαίων'!F16&gt;0,'Χρηματιστηριακά Δεδομένα'!F26&gt;0,'Χρηματιστηριακά Δεδομένα'!F8&gt;0,'Ρυθμίσεις'!$E$11&gt;0),('Υπολογισμοί Κεφαλαίων'!F16*'Χρηματιστηριακά Δεδομένα'!F26-'Υπολογισμοί Κεφαλαίων'!F9-'Χρηματιστηριακά Δεδομένα'!F15-'Χρηματιστηριακά Δεδομένα'!F16)*'Ρυθμίσεις'!$E$10/('Χρηματιστηριακά Δεδομένα'!F8*'Ρυθμίσεις'!$E$11),"n.a."))</x:f>
        <x:v>n.a.</x:v>
      </x:c>
      <x:c r="G38" s="45" t="str">
        <x:f>IF(COUNT('Υπολογισμοί Κεφαλαίων'!G16,'Χρηματιστηριακά Δεδομένα'!G26,'Υπολογισμοί Κεφαλαίων'!G9,'Χρηματιστηριακά Δεδομένα'!G15,'Χρηματιστηριακά Δεδομένα'!G16,'Ρυθμίσεις'!$E$10,'Χρηματιστηριακά Δεδομένα'!G8,'Ρυθμίσεις'!$E$11)&lt;8,"n.a.",IF(AND('Υπολογισμοί Κεφαλαίων'!G16&gt;0,'Χρηματιστηριακά Δεδομένα'!G26&gt;0,'Χρηματιστηριακά Δεδομένα'!G8&gt;0,'Ρυθμίσεις'!$E$11&gt;0),('Υπολογισμοί Κεφαλαίων'!G16*'Χρηματιστηριακά Δεδομένα'!G26-'Υπολογισμοί Κεφαλαίων'!G9-'Χρηματιστηριακά Δεδομένα'!G15-'Χρηματιστηριακά Δεδομένα'!G16)*'Ρυθμίσεις'!$E$10/('Χρηματιστηριακά Δεδομένα'!G8*'Ρυθμίσεις'!$E$11),"n.a."))</x:f>
        <x:v>n.a.</x:v>
      </x:c>
      <x:c r="H38" s="45" t="str">
        <x:f>IF(COUNT('Υπολογισμοί Κεφαλαίων'!H16,'Χρηματιστηριακά Δεδομένα'!H26,'Υπολογισμοί Κεφαλαίων'!H9,'Χρηματιστηριακά Δεδομένα'!H15,'Χρηματιστηριακά Δεδομένα'!H16,'Ρυθμίσεις'!$E$10,'Χρηματιστηριακά Δεδομένα'!H8,'Ρυθμίσεις'!$E$11)&lt;8,"n.a.",IF(AND('Υπολογισμοί Κεφαλαίων'!H16&gt;0,'Χρηματιστηριακά Δεδομένα'!H26&gt;0,'Χρηματιστηριακά Δεδομένα'!H8&gt;0,'Ρυθμίσεις'!$E$11&gt;0),('Υπολογισμοί Κεφαλαίων'!H16*'Χρηματιστηριακά Δεδομένα'!H26-'Υπολογισμοί Κεφαλαίων'!H9-'Χρηματιστηριακά Δεδομένα'!H15-'Χρηματιστηριακά Δεδομένα'!H16)*'Ρυθμίσεις'!$E$10/('Χρηματιστηριακά Δεδομένα'!H8*'Ρυθμίσεις'!$E$11),"n.a."))</x:f>
        <x:v>n.a.</x:v>
      </x:c>
      <x:c r="I38" s="45" t="str">
        <x:f>IF(COUNT('Υπολογισμοί Κεφαλαίων'!I16,'Χρηματιστηριακά Δεδομένα'!I26,'Υπολογισμοί Κεφαλαίων'!I9,'Χρηματιστηριακά Δεδομένα'!I15,'Χρηματιστηριακά Δεδομένα'!I16,'Ρυθμίσεις'!$E$10,'Χρηματιστηριακά Δεδομένα'!I8,'Ρυθμίσεις'!$E$11)&lt;8,"n.a.",IF(AND('Υπολογισμοί Κεφαλαίων'!I16&gt;0,'Χρηματιστηριακά Δεδομένα'!I26&gt;0,'Χρηματιστηριακά Δεδομένα'!I8&gt;0,'Ρυθμίσεις'!$E$11&gt;0),('Υπολογισμοί Κεφαλαίων'!I16*'Χρηματιστηριακά Δεδομένα'!I26-'Υπολογισμοί Κεφαλαίων'!I9-'Χρηματιστηριακά Δεδομένα'!I15-'Χρηματιστηριακά Δεδομένα'!I16)*'Ρυθμίσεις'!$E$10/('Χρηματιστηριακά Δεδομένα'!I8*'Ρυθμίσεις'!$E$11),"n.a."))</x:f>
        <x:v>n.a.</x:v>
      </x:c>
      <x:c r="J38" s="2"/>
      <x:c r="K38" s="2" t="str">
        <x:v>Μετατροπή επιχειρηματικής σε αξία κοινών κεφαλαίων πριν τη διαίρεση.</x:v>
      </x:c>
      <x:c r="L38" s="2"/>
      <x:c r="M38" s="2"/>
    </x:row>
    <x:row r="39" ht="23" customHeight="1">
      <x:c r="A39" s="1"/>
      <x:c r="B39" s="1"/>
      <x:c r="C39" s="2" t="str">
        <x:v>Τιμή βάσει P/E μετά περιθώριο ασφαλείας</x:v>
      </x:c>
      <x:c r="D39" s="46" t="str">
        <x:f>IF(COUNT('Αποτίμηση Μετοχής'!D36,'Χρηματιστηριακά Δεδομένα'!D27)&lt;2,"n.a.",IF(AND('Χρηματιστηριακά Δεδομένα'!D27&gt;=0,'Χρηματιστηριακά Δεδομένα'!D27&lt;=1),'Αποτίμηση Μετοχής'!D36*(1-'Χρηματιστηριακά Δεδομένα'!D27),"n.a."))</x:f>
        <x:v>n.a.</x:v>
      </x:c>
      <x:c r="E39" s="46" t="str">
        <x:f>IF(COUNT('Αποτίμηση Μετοχής'!E36,'Χρηματιστηριακά Δεδομένα'!E27)&lt;2,"n.a.",IF(AND('Χρηματιστηριακά Δεδομένα'!E27&gt;=0,'Χρηματιστηριακά Δεδομένα'!E27&lt;=1),'Αποτίμηση Μετοχής'!E36*(1-'Χρηματιστηριακά Δεδομένα'!E27),"n.a."))</x:f>
        <x:v>n.a.</x:v>
      </x:c>
      <x:c r="F39" s="46" t="str">
        <x:f>IF(COUNT('Αποτίμηση Μετοχής'!F36,'Χρηματιστηριακά Δεδομένα'!F27)&lt;2,"n.a.",IF(AND('Χρηματιστηριακά Δεδομένα'!F27&gt;=0,'Χρηματιστηριακά Δεδομένα'!F27&lt;=1),'Αποτίμηση Μετοχής'!F36*(1-'Χρηματιστηριακά Δεδομένα'!F27),"n.a."))</x:f>
        <x:v>n.a.</x:v>
      </x:c>
      <x:c r="G39" s="46" t="str">
        <x:f>IF(COUNT('Αποτίμηση Μετοχής'!G36,'Χρηματιστηριακά Δεδομένα'!G27)&lt;2,"n.a.",IF(AND('Χρηματιστηριακά Δεδομένα'!G27&gt;=0,'Χρηματιστηριακά Δεδομένα'!G27&lt;=1),'Αποτίμηση Μετοχής'!G36*(1-'Χρηματιστηριακά Δεδομένα'!G27),"n.a."))</x:f>
        <x:v>n.a.</x:v>
      </x:c>
      <x:c r="H39" s="46" t="str">
        <x:f>IF(COUNT('Αποτίμηση Μετοχής'!H36,'Χρηματιστηριακά Δεδομένα'!H27)&lt;2,"n.a.",IF(AND('Χρηματιστηριακά Δεδομένα'!H27&gt;=0,'Χρηματιστηριακά Δεδομένα'!H27&lt;=1),'Αποτίμηση Μετοχής'!H36*(1-'Χρηματιστηριακά Δεδομένα'!H27),"n.a."))</x:f>
        <x:v>n.a.</x:v>
      </x:c>
      <x:c r="I39" s="46" t="str">
        <x:f>IF(COUNT('Αποτίμηση Μετοχής'!I36,'Χρηματιστηριακά Δεδομένα'!I27)&lt;2,"n.a.",IF(AND('Χρηματιστηριακά Δεδομένα'!I27&gt;=0,'Χρηματιστηριακά Δεδομένα'!I27&lt;=1),'Αποτίμηση Μετοχής'!I36*(1-'Χρηματιστηριακά Δεδομένα'!I27),"n.a."))</x:f>
        <x:v>n.a.</x:v>
      </x:c>
      <x:c r="J39" s="2"/>
      <x:c r="K39" s="2"/>
      <x:c r="L39" s="2"/>
      <x:c r="M39" s="2"/>
    </x:row>
    <x:row r="40" ht="23" customHeight="1">
      <x:c r="A40" s="1"/>
      <x:c r="B40" s="1"/>
      <x:c r="C40" s="20" t="str">
        <x:v>Δυνητική μεταβολή τιμής βάσει P/E</x:v>
      </x:c>
      <x:c r="D40" s="36" t="str">
        <x:f>IF(COUNT('Αποτίμηση Μετοχής'!D36,'Χρηματιστηριακά Δεδομένα'!D7)&lt;2,"n.a.",IF(('Χρηματιστηριακά Δεδομένα'!D7)&gt;0,('Αποτίμηση Μετοχής'!D36-'Χρηματιστηριακά Δεδομένα'!D7)/('Χρηματιστηριακά Δεδομένα'!D7),"n.a."))</x:f>
        <x:v>n.a.</x:v>
      </x:c>
      <x:c r="E40" s="36" t="str">
        <x:f>IF(COUNT('Αποτίμηση Μετοχής'!E36,'Χρηματιστηριακά Δεδομένα'!E7)&lt;2,"n.a.",IF(('Χρηματιστηριακά Δεδομένα'!E7)&gt;0,('Αποτίμηση Μετοχής'!E36-'Χρηματιστηριακά Δεδομένα'!E7)/('Χρηματιστηριακά Δεδομένα'!E7),"n.a."))</x:f>
        <x:v>n.a.</x:v>
      </x:c>
      <x:c r="F40" s="36" t="str">
        <x:f>IF(COUNT('Αποτίμηση Μετοχής'!F36,'Χρηματιστηριακά Δεδομένα'!F7)&lt;2,"n.a.",IF(('Χρηματιστηριακά Δεδομένα'!F7)&gt;0,('Αποτίμηση Μετοχής'!F36-'Χρηματιστηριακά Δεδομένα'!F7)/('Χρηματιστηριακά Δεδομένα'!F7),"n.a."))</x:f>
        <x:v>n.a.</x:v>
      </x:c>
      <x:c r="G40" s="36" t="str">
        <x:f>IF(COUNT('Αποτίμηση Μετοχής'!G36,'Χρηματιστηριακά Δεδομένα'!G7)&lt;2,"n.a.",IF(('Χρηματιστηριακά Δεδομένα'!G7)&gt;0,('Αποτίμηση Μετοχής'!G36-'Χρηματιστηριακά Δεδομένα'!G7)/('Χρηματιστηριακά Δεδομένα'!G7),"n.a."))</x:f>
        <x:v>n.a.</x:v>
      </x:c>
      <x:c r="H40" s="36" t="str">
        <x:f>IF(COUNT('Αποτίμηση Μετοχής'!H36,'Χρηματιστηριακά Δεδομένα'!H7)&lt;2,"n.a.",IF(('Χρηματιστηριακά Δεδομένα'!H7)&gt;0,('Αποτίμηση Μετοχής'!H36-'Χρηματιστηριακά Δεδομένα'!H7)/('Χρηματιστηριακά Δεδομένα'!H7),"n.a."))</x:f>
        <x:v>n.a.</x:v>
      </x:c>
      <x:c r="I40" s="36" t="str">
        <x:f>IF(COUNT('Αποτίμηση Μετοχής'!I36,'Χρηματιστηριακά Δεδομένα'!I7)&lt;2,"n.a.",IF(('Χρηματιστηριακά Δεδομένα'!I7)&gt;0,('Αποτίμηση Μετοχής'!I36-'Χρηματιστηριακά Δεδομένα'!I7)/('Χρηματιστηριακά Δεδομένα'!I7),"n.a."))</x:f>
        <x:v>n.a.</x:v>
      </x:c>
      <x:c r="J40" s="2"/>
      <x:c r="K40" s="2"/>
      <x:c r="L40" s="2"/>
      <x:c r="M40" s="2"/>
    </x:row>
    <x:row r="41" ht="23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3" customHeight="1">
      <x:c r="A42" s="1"/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3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Ανάλυση DuPont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Αποδοτικότητα ομίλου με συνεπή βάση κερδών και κεφαλαίων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Ταυτότητα τριών παραγόντων μετά φόρων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Περιθώριο καθαρού κέρδους</x:v>
      </x:c>
      <x:c r="D8" s="21"/>
      <x:c r="E8" s="36" t="str">
        <x:f>IF(COUNT('Κερδοφορία'!E12)&lt;1,"n.a.",IF(TRUE,'Κερδοφορία'!E12,"n.a."))</x:f>
        <x:v>n.a.</x:v>
      </x:c>
      <x:c r="F8" s="36" t="str">
        <x:f>IF(COUNT('Κερδοφορία'!F12)&lt;1,"n.a.",IF(TRUE,'Κερδοφορία'!F12,"n.a."))</x:f>
        <x:v>n.a.</x:v>
      </x:c>
      <x:c r="G8" s="36" t="str">
        <x:f>IF(COUNT('Κερδοφορία'!G12)&lt;1,"n.a.",IF(TRUE,'Κερδοφορία'!G12,"n.a."))</x:f>
        <x:v>n.a.</x:v>
      </x:c>
      <x:c r="H8" s="36" t="str">
        <x:f>IF(COUNT('Κερδοφορία'!H12)&lt;1,"n.a.",IF(TRUE,'Κερδοφορία'!H12,"n.a."))</x:f>
        <x:v>n.a.</x:v>
      </x:c>
      <x:c r="I8" s="36" t="str">
        <x:f>IF(COUNT('Κερδοφορία'!I12)&lt;1,"n.a.",IF(TRUE,'Κερδοφορία'!I12,"n.a."))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Ταχύτητα μέσου ενεργητικού</x:v>
      </x:c>
      <x:c r="D9" s="26"/>
      <x:c r="E9" s="41" t="str">
        <x:f>IF(COUNT('Αποτελεσματικότητα'!E20)&lt;1,"n.a.",IF(TRUE,'Αποτελεσματικότητα'!E20,"n.a."))</x:f>
        <x:v>n.a.</x:v>
      </x:c>
      <x:c r="F9" s="41" t="str">
        <x:f>IF(COUNT('Αποτελεσματικότητα'!F20)&lt;1,"n.a.",IF(TRUE,'Αποτελεσματικότητα'!F20,"n.a."))</x:f>
        <x:v>n.a.</x:v>
      </x:c>
      <x:c r="G9" s="41" t="str">
        <x:f>IF(COUNT('Αποτελεσματικότητα'!G20)&lt;1,"n.a.",IF(TRUE,'Αποτελεσματικότητα'!G20,"n.a."))</x:f>
        <x:v>n.a.</x:v>
      </x:c>
      <x:c r="H9" s="41" t="str">
        <x:f>IF(COUNT('Αποτελεσματικότητα'!H20)&lt;1,"n.a.",IF(TRUE,'Αποτελεσματικότητα'!H20,"n.a."))</x:f>
        <x:v>n.a.</x:v>
      </x:c>
      <x:c r="I9" s="41" t="str">
        <x:f>IF(COUNT('Αποτελεσματικότητα'!I20)&lt;1,"n.a.",IF(TRUE,'Αποτελεσματικότητα'!I20,"n.a."))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Πολλαπλασιαστής μέσων ιδίων κεφαλαίων</x:v>
      </x:c>
      <x:c r="D10" s="26"/>
      <x:c r="E10" s="42" t="str">
        <x:f>IF(COUNT('Χρέος και Φερεγγυότητα'!E20)&lt;1,"n.a.",IF(TRUE,'Χρέος και Φερεγγυότητα'!E20,"n.a."))</x:f>
        <x:v>n.a.</x:v>
      </x:c>
      <x:c r="F10" s="42" t="str">
        <x:f>IF(COUNT('Χρέος και Φερεγγυότητα'!F20)&lt;1,"n.a.",IF(TRUE,'Χρέος και Φερεγγυότητα'!F20,"n.a."))</x:f>
        <x:v>n.a.</x:v>
      </x:c>
      <x:c r="G10" s="42" t="str">
        <x:f>IF(COUNT('Χρέος και Φερεγγυότητα'!G20)&lt;1,"n.a.",IF(TRUE,'Χρέος και Φερεγγυότητα'!G20,"n.a."))</x:f>
        <x:v>n.a.</x:v>
      </x:c>
      <x:c r="H10" s="42" t="str">
        <x:f>IF(COUNT('Χρέος και Φερεγγυότητα'!H20)&lt;1,"n.a.",IF(TRUE,'Χρέος και Φερεγγυότητα'!H20,"n.a."))</x:f>
        <x:v>n.a.</x:v>
      </x:c>
      <x:c r="I10" s="42" t="str">
        <x:f>IF(COUNT('Χρέος και Φερεγγυότητα'!I20)&lt;1,"n.a.",IF(TRUE,'Χρέος και Φερεγγυότητα'!I20,"n.a."))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ROE από τρεις παράγοντες</x:v>
      </x:c>
      <x:c r="D11" s="21"/>
      <x:c r="E11" s="37" t="str">
        <x:f>IF(COUNT('Ανάλυση DuPont'!E8,'Ανάλυση DuPont'!E9,'Ανάλυση DuPont'!E10)&lt;3,"n.a.",IF(TRUE,'Ανάλυση DuPont'!E8*'Ανάλυση DuPont'!E9*'Ανάλυση DuPont'!E10,"n.a."))</x:f>
        <x:v>n.a.</x:v>
      </x:c>
      <x:c r="F11" s="37" t="str">
        <x:f>IF(COUNT('Ανάλυση DuPont'!F8,'Ανάλυση DuPont'!F9,'Ανάλυση DuPont'!F10)&lt;3,"n.a.",IF(TRUE,'Ανάλυση DuPont'!F8*'Ανάλυση DuPont'!F9*'Ανάλυση DuPont'!F10,"n.a."))</x:f>
        <x:v>n.a.</x:v>
      </x:c>
      <x:c r="G11" s="37" t="str">
        <x:f>IF(COUNT('Ανάλυση DuPont'!G8,'Ανάλυση DuPont'!G9,'Ανάλυση DuPont'!G10)&lt;3,"n.a.",IF(TRUE,'Ανάλυση DuPont'!G8*'Ανάλυση DuPont'!G9*'Ανάλυση DuPont'!G10,"n.a."))</x:f>
        <x:v>n.a.</x:v>
      </x:c>
      <x:c r="H11" s="37" t="str">
        <x:f>IF(COUNT('Ανάλυση DuPont'!H8,'Ανάλυση DuPont'!H9,'Ανάλυση DuPont'!H10)&lt;3,"n.a.",IF(TRUE,'Ανάλυση DuPont'!H8*'Ανάλυση DuPont'!H9*'Ανάλυση DuPont'!H10,"n.a."))</x:f>
        <x:v>n.a.</x:v>
      </x:c>
      <x:c r="I11" s="37" t="str">
        <x:f>IF(COUNT('Ανάλυση DuPont'!I8,'Ανάλυση DuPont'!I9,'Ανάλυση DuPont'!I10)&lt;3,"n.a.",IF(TRUE,'Ανάλυση DuPont'!I8*'Ανάλυση DuPont'!I9*'Ανάλυση DuPont'!I10,"n.a."))</x:f>
        <x:v>n.a.</x:v>
      </x:c>
      <x:c r="J11" s="2"/>
      <x:c r="K11" s="2" t="str">
        <x:v>Πολλαπλασιάστε τους παράγοντες, μην τους προσθέτετε.</x:v>
      </x:c>
      <x:c r="L11" s="2"/>
      <x:c r="M11" s="2"/>
    </x:row>
    <x:row r="12" ht="25" customHeight="1">
      <x:c r="A12" s="1"/>
      <x:c r="B12" s="1"/>
      <x:c r="C12" s="34" t="str">
        <x:v>Ταυτότητα πέντε παραγόντων μετά φόρων</x:v>
      </x:c>
      <x:c r="D12" s="34"/>
      <x:c r="E12" s="34"/>
      <x:c r="F12" s="34"/>
      <x:c r="G12" s="34"/>
      <x:c r="H12" s="34"/>
      <x:c r="I12" s="34"/>
      <x:c r="J12" s="2"/>
      <x:c r="K12" s="2"/>
      <x:c r="L12" s="2"/>
      <x:c r="M12" s="2"/>
    </x:row>
    <x:row r="13" ht="23" customHeight="1">
      <x:c r="A13" s="1"/>
      <x:c r="B13" s="1"/>
      <x:c r="C13" s="20" t="str">
        <x:v>Φορολογική επίδραση και λοιπά μετά φόρων</x:v>
      </x:c>
      <x:c r="D13" s="26"/>
      <x:c r="E13" s="41" t="str">
        <x:f>IF(COUNT('Αποτελέσματα Χρήσης'!E28,'Αποτελέσματα Χρήσης'!E25)&lt;2,"n.a.",IF('Αποτελέσματα Χρήσης'!E25&lt;&gt;0,('Αποτελέσματα Χρήσης'!E28)/('Αποτελέσματα Χρήσης'!E25),"n.a."))</x:f>
        <x:v>n.a.</x:v>
      </x:c>
      <x:c r="F13" s="41" t="str">
        <x:f>IF(COUNT('Αποτελέσματα Χρήσης'!F28,'Αποτελέσματα Χρήσης'!F25)&lt;2,"n.a.",IF('Αποτελέσματα Χρήσης'!F25&lt;&gt;0,('Αποτελέσματα Χρήσης'!F28)/('Αποτελέσματα Χρήσης'!F25),"n.a."))</x:f>
        <x:v>n.a.</x:v>
      </x:c>
      <x:c r="G13" s="41" t="str">
        <x:f>IF(COUNT('Αποτελέσματα Χρήσης'!G28,'Αποτελέσματα Χρήσης'!G25)&lt;2,"n.a.",IF('Αποτελέσματα Χρήσης'!G25&lt;&gt;0,('Αποτελέσματα Χρήσης'!G28)/('Αποτελέσματα Χρήσης'!G25),"n.a."))</x:f>
        <x:v>n.a.</x:v>
      </x:c>
      <x:c r="H13" s="41" t="str">
        <x:f>IF(COUNT('Αποτελέσματα Χρήσης'!H28,'Αποτελέσματα Χρήσης'!H25)&lt;2,"n.a.",IF('Αποτελέσματα Χρήσης'!H25&lt;&gt;0,('Αποτελέσματα Χρήσης'!H28)/('Αποτελέσματα Χρήσης'!H25),"n.a."))</x:f>
        <x:v>n.a.</x:v>
      </x:c>
      <x:c r="I13" s="41" t="str">
        <x:f>IF(COUNT('Αποτελέσματα Χρήσης'!I28,'Αποτελέσματα Χρήσης'!I25)&lt;2,"n.a.",IF('Αποτελέσματα Χρήσης'!I25&lt;&gt;0,('Αποτελέσματα Χρήσης'!I28)/('Αποτελέσματα Χρήσης'!I25),"n.a."))</x:f>
        <x:v>n.a.</x:v>
      </x:c>
      <x:c r="J13" s="2"/>
      <x:c r="K13" s="2" t="str">
        <x:v>Περιλαμβάνει διακοπείσες δραστηριότητες εφόσον υπάρχουν.</x:v>
      </x:c>
      <x:c r="L13" s="2"/>
      <x:c r="M13" s="2"/>
    </x:row>
    <x:row r="14" ht="23" customHeight="1">
      <x:c r="A14" s="1"/>
      <x:c r="B14" s="1"/>
      <x:c r="C14" s="20" t="str">
        <x:v>Χρηματοοικονομική και μη λειτουργική επίδραση</x:v>
      </x:c>
      <x:c r="D14" s="26"/>
      <x:c r="E14" s="42" t="str">
        <x:f>IF(COUNT('Αποτελέσματα Χρήσης'!E25,'Αποτελέσματα Χρήσης'!E16)&lt;2,"n.a.",IF('Αποτελέσματα Χρήσης'!E16&lt;&gt;0,('Αποτελέσματα Χρήσης'!E25)/('Αποτελέσματα Χρήσης'!E16),"n.a."))</x:f>
        <x:v>n.a.</x:v>
      </x:c>
      <x:c r="F14" s="42" t="str">
        <x:f>IF(COUNT('Αποτελέσματα Χρήσης'!F25,'Αποτελέσματα Χρήσης'!F16)&lt;2,"n.a.",IF('Αποτελέσματα Χρήσης'!F16&lt;&gt;0,('Αποτελέσματα Χρήσης'!F25)/('Αποτελέσματα Χρήσης'!F16),"n.a."))</x:f>
        <x:v>n.a.</x:v>
      </x:c>
      <x:c r="G14" s="42" t="str">
        <x:f>IF(COUNT('Αποτελέσματα Χρήσης'!G25,'Αποτελέσματα Χρήσης'!G16)&lt;2,"n.a.",IF('Αποτελέσματα Χρήσης'!G16&lt;&gt;0,('Αποτελέσματα Χρήσης'!G25)/('Αποτελέσματα Χρήσης'!G16),"n.a."))</x:f>
        <x:v>n.a.</x:v>
      </x:c>
      <x:c r="H14" s="42" t="str">
        <x:f>IF(COUNT('Αποτελέσματα Χρήσης'!H25,'Αποτελέσματα Χρήσης'!H16)&lt;2,"n.a.",IF('Αποτελέσματα Χρήσης'!H16&lt;&gt;0,('Αποτελέσματα Χρήσης'!H25)/('Αποτελέσματα Χρήσης'!H16),"n.a."))</x:f>
        <x:v>n.a.</x:v>
      </x:c>
      <x:c r="I14" s="42" t="str">
        <x:f>IF(COUNT('Αποτελέσματα Χρήσης'!I25,'Αποτελέσματα Χρήσης'!I16)&lt;2,"n.a.",IF('Αποτελέσματα Χρήσης'!I16&lt;&gt;0,('Αποτελέσματα Χρήσης'!I25)/('Αποτελέσματα Χρήσης'!I16),"n.a."))</x:f>
        <x:v>n.a.</x:v>
      </x:c>
      <x:c r="J14" s="2"/>
      <x:c r="K14" s="2" t="str">
        <x:v>Ενδέχεται να περιλαμβάνει κέρδη συγγενών και λοιπά έσοδα.</x:v>
      </x:c>
      <x:c r="L14" s="2"/>
      <x:c r="M14" s="2"/>
    </x:row>
    <x:row r="15" ht="23" customHeight="1">
      <x:c r="A15" s="1"/>
      <x:c r="B15" s="1"/>
      <x:c r="C15" s="20" t="str">
        <x:v>Περιθώριο EBIT</x:v>
      </x:c>
      <x:c r="D15" s="21"/>
      <x:c r="E15" s="37" t="str">
        <x:f>IF(COUNT('Κερδοφορία'!E9)&lt;1,"n.a.",IF(TRUE,'Κερδοφορία'!E9,"n.a."))</x:f>
        <x:v>n.a.</x:v>
      </x:c>
      <x:c r="F15" s="37" t="str">
        <x:f>IF(COUNT('Κερδοφορία'!F9)&lt;1,"n.a.",IF(TRUE,'Κερδοφορία'!F9,"n.a."))</x:f>
        <x:v>n.a.</x:v>
      </x:c>
      <x:c r="G15" s="37" t="str">
        <x:f>IF(COUNT('Κερδοφορία'!G9)&lt;1,"n.a.",IF(TRUE,'Κερδοφορία'!G9,"n.a."))</x:f>
        <x:v>n.a.</x:v>
      </x:c>
      <x:c r="H15" s="37" t="str">
        <x:f>IF(COUNT('Κερδοφορία'!H9)&lt;1,"n.a.",IF(TRUE,'Κερδοφορία'!H9,"n.a."))</x:f>
        <x:v>n.a.</x:v>
      </x:c>
      <x:c r="I15" s="37" t="str">
        <x:f>IF(COUNT('Κερδοφορία'!I9)&lt;1,"n.a.",IF(TRUE,'Κερδοφορία'!I9,"n.a."))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ROE από πέντε παράγοντες</x:v>
      </x:c>
      <x:c r="D16" s="21"/>
      <x:c r="E16" s="36" t="str">
        <x:f>IF(COUNT('Ανάλυση DuPont'!E13,'Ανάλυση DuPont'!E14,'Ανάλυση DuPont'!E15,'Ανάλυση DuPont'!E9,'Ανάλυση DuPont'!E10)&lt;5,"n.a.",IF(TRUE,'Ανάλυση DuPont'!E13*'Ανάλυση DuPont'!E14*'Ανάλυση DuPont'!E15*'Ανάλυση DuPont'!E9*'Ανάλυση DuPont'!E10,"n.a."))</x:f>
        <x:v>n.a.</x:v>
      </x:c>
      <x:c r="F16" s="36" t="str">
        <x:f>IF(COUNT('Ανάλυση DuPont'!F13,'Ανάλυση DuPont'!F14,'Ανάλυση DuPont'!F15,'Ανάλυση DuPont'!F9,'Ανάλυση DuPont'!F10)&lt;5,"n.a.",IF(TRUE,'Ανάλυση DuPont'!F13*'Ανάλυση DuPont'!F14*'Ανάλυση DuPont'!F15*'Ανάλυση DuPont'!F9*'Ανάλυση DuPont'!F10,"n.a."))</x:f>
        <x:v>n.a.</x:v>
      </x:c>
      <x:c r="G16" s="36" t="str">
        <x:f>IF(COUNT('Ανάλυση DuPont'!G13,'Ανάλυση DuPont'!G14,'Ανάλυση DuPont'!G15,'Ανάλυση DuPont'!G9,'Ανάλυση DuPont'!G10)&lt;5,"n.a.",IF(TRUE,'Ανάλυση DuPont'!G13*'Ανάλυση DuPont'!G14*'Ανάλυση DuPont'!G15*'Ανάλυση DuPont'!G9*'Ανάλυση DuPont'!G10,"n.a."))</x:f>
        <x:v>n.a.</x:v>
      </x:c>
      <x:c r="H16" s="36" t="str">
        <x:f>IF(COUNT('Ανάλυση DuPont'!H13,'Ανάλυση DuPont'!H14,'Ανάλυση DuPont'!H15,'Ανάλυση DuPont'!H9,'Ανάλυση DuPont'!H10)&lt;5,"n.a.",IF(TRUE,'Ανάλυση DuPont'!H13*'Ανάλυση DuPont'!H14*'Ανάλυση DuPont'!H15*'Ανάλυση DuPont'!H9*'Ανάλυση DuPont'!H10,"n.a."))</x:f>
        <x:v>n.a.</x:v>
      </x:c>
      <x:c r="I16" s="36" t="str">
        <x:f>IF(COUNT('Ανάλυση DuPont'!I13,'Ανάλυση DuPont'!I14,'Ανάλυση DuPont'!I15,'Ανάλυση DuPont'!I9,'Ανάλυση DuPont'!I10)&lt;5,"n.a.",IF(TRUE,'Ανάλυση DuPont'!I13*'Ανάλυση DuPont'!I14*'Ανάλυση DuPont'!I15*'Ανάλυση DuPont'!I9*'Ανάλυση DuPont'!I10,"n.a."))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Ταυτότητα ROE προ φόρων με μέσα ίδια κεφάλαια</x:v>
      </x:c>
      <x:c r="D17" s="21"/>
      <x:c r="E17" s="37" t="str">
        <x:f>IF(COUNT('Κερδοφορία'!E11,'Ανάλυση DuPont'!E9,'Ανάλυση DuPont'!E10)&lt;3,"n.a.",IF(TRUE,'Κερδοφορία'!E11*'Ανάλυση DuPont'!E9*'Ανάλυση DuPont'!E10,"n.a."))</x:f>
        <x:v>n.a.</x:v>
      </x:c>
      <x:c r="F17" s="37" t="str">
        <x:f>IF(COUNT('Κερδοφορία'!F11,'Ανάλυση DuPont'!F9,'Ανάλυση DuPont'!F10)&lt;3,"n.a.",IF(TRUE,'Κερδοφορία'!F11*'Ανάλυση DuPont'!F9*'Ανάλυση DuPont'!F10,"n.a."))</x:f>
        <x:v>n.a.</x:v>
      </x:c>
      <x:c r="G17" s="37" t="str">
        <x:f>IF(COUNT('Κερδοφορία'!G11,'Ανάλυση DuPont'!G9,'Ανάλυση DuPont'!G10)&lt;3,"n.a.",IF(TRUE,'Κερδοφορία'!G11*'Ανάλυση DuPont'!G9*'Ανάλυση DuPont'!G10,"n.a."))</x:f>
        <x:v>n.a.</x:v>
      </x:c>
      <x:c r="H17" s="37" t="str">
        <x:f>IF(COUNT('Κερδοφορία'!H11,'Ανάλυση DuPont'!H9,'Ανάλυση DuPont'!H10)&lt;3,"n.a.",IF(TRUE,'Κερδοφορία'!H11*'Ανάλυση DuPont'!H9*'Ανάλυση DuPont'!H10,"n.a."))</x:f>
        <x:v>n.a.</x:v>
      </x:c>
      <x:c r="I17" s="37" t="str">
        <x:f>IF(COUNT('Κερδοφορία'!I11,'Ανάλυση DuPont'!I9,'Ανάλυση DuPont'!I10)&lt;3,"n.a.",IF(TRUE,'Κερδοφορία'!I11*'Ανάλυση DuPont'!I9*'Ανάλυση DuPont'!I10,"n.a."))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Κοινά Μεγέθη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Αποτελέσματα ως ποσοστά πωλήσεων και ισολογισμός ως ποσοστά ενεργητικού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Αποτελέσματα ως ποσοστό πωλήσεων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0" t="str">
        <x:v>Κόστος πωληθέντων</x:v>
      </x:c>
      <x:c r="D8" s="21"/>
      <x:c r="E8" s="36" t="str">
        <x:f>IF(COUNT('Αποτελέσματα Χρήσης'!E9,'Αποτελέσματα Χρήσης'!E8)&lt;2,"n.a.",IF(('Αποτελέσματα Χρήσης'!E8)&gt;0,('Αποτελέσματα Χρήσης'!E9)/('Αποτελέσματα Χρήσης'!E8),"n.a."))</x:f>
        <x:v>n.a.</x:v>
      </x:c>
      <x:c r="F8" s="36" t="str">
        <x:f>IF(COUNT('Αποτελέσματα Χρήσης'!F9,'Αποτελέσματα Χρήσης'!F8)&lt;2,"n.a.",IF(('Αποτελέσματα Χρήσης'!F8)&gt;0,('Αποτελέσματα Χρήσης'!F9)/('Αποτελέσματα Χρήσης'!F8),"n.a."))</x:f>
        <x:v>n.a.</x:v>
      </x:c>
      <x:c r="G8" s="36" t="str">
        <x:f>IF(COUNT('Αποτελέσματα Χρήσης'!G9,'Αποτελέσματα Χρήσης'!G8)&lt;2,"n.a.",IF(('Αποτελέσματα Χρήσης'!G8)&gt;0,('Αποτελέσματα Χρήσης'!G9)/('Αποτελέσματα Χρήσης'!G8),"n.a."))</x:f>
        <x:v>n.a.</x:v>
      </x:c>
      <x:c r="H8" s="36" t="str">
        <x:f>IF(COUNT('Αποτελέσματα Χρήσης'!H9,'Αποτελέσματα Χρήσης'!H8)&lt;2,"n.a.",IF(('Αποτελέσματα Χρήσης'!H8)&gt;0,('Αποτελέσματα Χρήσης'!H9)/('Αποτελέσματα Χρήσης'!H8),"n.a."))</x:f>
        <x:v>n.a.</x:v>
      </x:c>
      <x:c r="I8" s="36" t="str">
        <x:f>IF(COUNT('Αποτελέσματα Χρήσης'!I9,'Αποτελέσματα Χρήσης'!I8)&lt;2,"n.a.",IF(('Αποτελέσματα Χρήσης'!I8)&gt;0,('Αποτελέσματα Χρήσης'!I9)/('Αποτελέσματα Χρήσης'!I8),"n.a."))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0" t="str">
        <x:v>Μικτό κέρδος</x:v>
      </x:c>
      <x:c r="D9" s="21"/>
      <x:c r="E9" s="37" t="str">
        <x:f>IF(COUNT('Αποτελέσματα Χρήσης'!E10,'Αποτελέσματα Χρήσης'!E8)&lt;2,"n.a.",IF(('Αποτελέσματα Χρήσης'!E8)&gt;0,('Αποτελέσματα Χρήσης'!E10)/('Αποτελέσματα Χρήσης'!E8),"n.a."))</x:f>
        <x:v>n.a.</x:v>
      </x:c>
      <x:c r="F9" s="37" t="str">
        <x:f>IF(COUNT('Αποτελέσματα Χρήσης'!F10,'Αποτελέσματα Χρήσης'!F8)&lt;2,"n.a.",IF(('Αποτελέσματα Χρήσης'!F8)&gt;0,('Αποτελέσματα Χρήσης'!F10)/('Αποτελέσματα Χρήσης'!F8),"n.a."))</x:f>
        <x:v>n.a.</x:v>
      </x:c>
      <x:c r="G9" s="37" t="str">
        <x:f>IF(COUNT('Αποτελέσματα Χρήσης'!G10,'Αποτελέσματα Χρήσης'!G8)&lt;2,"n.a.",IF(('Αποτελέσματα Χρήσης'!G8)&gt;0,('Αποτελέσματα Χρήσης'!G10)/('Αποτελέσματα Χρήσης'!G8),"n.a."))</x:f>
        <x:v>n.a.</x:v>
      </x:c>
      <x:c r="H9" s="37" t="str">
        <x:f>IF(COUNT('Αποτελέσματα Χρήσης'!H10,'Αποτελέσματα Χρήσης'!H8)&lt;2,"n.a.",IF(('Αποτελέσματα Χρήσης'!H8)&gt;0,('Αποτελέσματα Χρήσης'!H10)/('Αποτελέσματα Χρήσης'!H8),"n.a."))</x:f>
        <x:v>n.a.</x:v>
      </x:c>
      <x:c r="I9" s="37" t="str">
        <x:f>IF(COUNT('Αποτελέσματα Χρήσης'!I10,'Αποτελέσματα Χρήσης'!I8)&lt;2,"n.a.",IF(('Αποτελέσματα Χρήσης'!I8)&gt;0,('Αποτελέσματα Χρήσης'!I10)/('Αποτελέσματα Χρήσης'!I8),"n.a."))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0" t="str">
        <x:v>Λειτουργικά κέρδη (EBIT)</x:v>
      </x:c>
      <x:c r="D10" s="21"/>
      <x:c r="E10" s="36" t="str">
        <x:f>IF(COUNT('Αποτελέσματα Χρήσης'!E16,'Αποτελέσματα Χρήσης'!E8)&lt;2,"n.a.",IF(('Αποτελέσματα Χρήσης'!E8)&gt;0,('Αποτελέσματα Χρήσης'!E16)/('Αποτελέσματα Χρήσης'!E8),"n.a."))</x:f>
        <x:v>n.a.</x:v>
      </x:c>
      <x:c r="F10" s="36" t="str">
        <x:f>IF(COUNT('Αποτελέσματα Χρήσης'!F16,'Αποτελέσματα Χρήσης'!F8)&lt;2,"n.a.",IF(('Αποτελέσματα Χρήσης'!F8)&gt;0,('Αποτελέσματα Χρήσης'!F16)/('Αποτελέσματα Χρήσης'!F8),"n.a."))</x:f>
        <x:v>n.a.</x:v>
      </x:c>
      <x:c r="G10" s="36" t="str">
        <x:f>IF(COUNT('Αποτελέσματα Χρήσης'!G16,'Αποτελέσματα Χρήσης'!G8)&lt;2,"n.a.",IF(('Αποτελέσματα Χρήσης'!G8)&gt;0,('Αποτελέσματα Χρήσης'!G16)/('Αποτελέσματα Χρήσης'!G8),"n.a."))</x:f>
        <x:v>n.a.</x:v>
      </x:c>
      <x:c r="H10" s="36" t="str">
        <x:f>IF(COUNT('Αποτελέσματα Χρήσης'!H16,'Αποτελέσματα Χρήσης'!H8)&lt;2,"n.a.",IF(('Αποτελέσματα Χρήσης'!H8)&gt;0,('Αποτελέσματα Χρήσης'!H16)/('Αποτελέσματα Χρήσης'!H8),"n.a."))</x:f>
        <x:v>n.a.</x:v>
      </x:c>
      <x:c r="I10" s="36" t="str">
        <x:f>IF(COUNT('Αποτελέσματα Χρήσης'!I16,'Αποτελέσματα Χρήσης'!I8)&lt;2,"n.a.",IF(('Αποτελέσματα Χρήσης'!I8)&gt;0,('Αποτελέσματα Χρήσης'!I16)/('Αποτελέσματα Χρήσης'!I8),"n.a."))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0" t="str">
        <x:v>Κέρδη προ φόρων</x:v>
      </x:c>
      <x:c r="D11" s="21"/>
      <x:c r="E11" s="37" t="str">
        <x:f>IF(COUNT('Αποτελέσματα Χρήσης'!E25,'Αποτελέσματα Χρήσης'!E8)&lt;2,"n.a.",IF(('Αποτελέσματα Χρήσης'!E8)&gt;0,('Αποτελέσματα Χρήσης'!E25)/('Αποτελέσματα Χρήσης'!E8),"n.a."))</x:f>
        <x:v>n.a.</x:v>
      </x:c>
      <x:c r="F11" s="37" t="str">
        <x:f>IF(COUNT('Αποτελέσματα Χρήσης'!F25,'Αποτελέσματα Χρήσης'!F8)&lt;2,"n.a.",IF(('Αποτελέσματα Χρήσης'!F8)&gt;0,('Αποτελέσματα Χρήσης'!F25)/('Αποτελέσματα Χρήσης'!F8),"n.a."))</x:f>
        <x:v>n.a.</x:v>
      </x:c>
      <x:c r="G11" s="37" t="str">
        <x:f>IF(COUNT('Αποτελέσματα Χρήσης'!G25,'Αποτελέσματα Χρήσης'!G8)&lt;2,"n.a.",IF(('Αποτελέσματα Χρήσης'!G8)&gt;0,('Αποτελέσματα Χρήσης'!G25)/('Αποτελέσματα Χρήσης'!G8),"n.a."))</x:f>
        <x:v>n.a.</x:v>
      </x:c>
      <x:c r="H11" s="37" t="str">
        <x:f>IF(COUNT('Αποτελέσματα Χρήσης'!H25,'Αποτελέσματα Χρήσης'!H8)&lt;2,"n.a.",IF(('Αποτελέσματα Χρήσης'!H8)&gt;0,('Αποτελέσματα Χρήσης'!H25)/('Αποτελέσματα Χρήσης'!H8),"n.a."))</x:f>
        <x:v>n.a.</x:v>
      </x:c>
      <x:c r="I11" s="37" t="str">
        <x:f>IF(COUNT('Αποτελέσματα Χρήσης'!I25,'Αποτελέσματα Χρήσης'!I8)&lt;2,"n.a.",IF(('Αποτελέσματα Χρήσης'!I8)&gt;0,('Αποτελέσματα Χρήσης'!I25)/('Αποτελέσματα Χρήσης'!I8),"n.a."))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0" t="str">
        <x:v>Φόρος εισοδήματος (όφελος αρνητικό)</x:v>
      </x:c>
      <x:c r="D12" s="21"/>
      <x:c r="E12" s="36" t="str">
        <x:f>IF(COUNT('Αποτελέσματα Χρήσης'!E26,'Αποτελέσματα Χρήσης'!E8)&lt;2,"n.a.",IF(('Αποτελέσματα Χρήσης'!E8)&gt;0,('Αποτελέσματα Χρήσης'!E26)/('Αποτελέσματα Χρήσης'!E8),"n.a."))</x:f>
        <x:v>n.a.</x:v>
      </x:c>
      <x:c r="F12" s="36" t="str">
        <x:f>IF(COUNT('Αποτελέσματα Χρήσης'!F26,'Αποτελέσματα Χρήσης'!F8)&lt;2,"n.a.",IF(('Αποτελέσματα Χρήσης'!F8)&gt;0,('Αποτελέσματα Χρήσης'!F26)/('Αποτελέσματα Χρήσης'!F8),"n.a."))</x:f>
        <x:v>n.a.</x:v>
      </x:c>
      <x:c r="G12" s="36" t="str">
        <x:f>IF(COUNT('Αποτελέσματα Χρήσης'!G26,'Αποτελέσματα Χρήσης'!G8)&lt;2,"n.a.",IF(('Αποτελέσματα Χρήσης'!G8)&gt;0,('Αποτελέσματα Χρήσης'!G26)/('Αποτελέσματα Χρήσης'!G8),"n.a."))</x:f>
        <x:v>n.a.</x:v>
      </x:c>
      <x:c r="H12" s="36" t="str">
        <x:f>IF(COUNT('Αποτελέσματα Χρήσης'!H26,'Αποτελέσματα Χρήσης'!H8)&lt;2,"n.a.",IF(('Αποτελέσματα Χρήσης'!H8)&gt;0,('Αποτελέσματα Χρήσης'!H26)/('Αποτελέσματα Χρήσης'!H8),"n.a."))</x:f>
        <x:v>n.a.</x:v>
      </x:c>
      <x:c r="I12" s="36" t="str">
        <x:f>IF(COUNT('Αποτελέσματα Χρήσης'!I26,'Αποτελέσματα Χρήσης'!I8)&lt;2,"n.a.",IF(('Αποτελέσματα Χρήσης'!I8)&gt;0,('Αποτελέσματα Χρήσης'!I26)/('Αποτελέσματα Χρήσης'!I8),"n.a."))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0" t="str">
        <x:v>Καθαρά κέρδη ομίλου</x:v>
      </x:c>
      <x:c r="D13" s="21"/>
      <x:c r="E13" s="37" t="str">
        <x:f>IF(COUNT('Αποτελέσματα Χρήσης'!E28,'Αποτελέσματα Χρήσης'!E8)&lt;2,"n.a.",IF(('Αποτελέσματα Χρήσης'!E8)&gt;0,('Αποτελέσματα Χρήσης'!E28)/('Αποτελέσματα Χρήσης'!E8),"n.a."))</x:f>
        <x:v>n.a.</x:v>
      </x:c>
      <x:c r="F13" s="37" t="str">
        <x:f>IF(COUNT('Αποτελέσματα Χρήσης'!F28,'Αποτελέσματα Χρήσης'!F8)&lt;2,"n.a.",IF(('Αποτελέσματα Χρήσης'!F8)&gt;0,('Αποτελέσματα Χρήσης'!F28)/('Αποτελέσματα Χρήσης'!F8),"n.a."))</x:f>
        <x:v>n.a.</x:v>
      </x:c>
      <x:c r="G13" s="37" t="str">
        <x:f>IF(COUNT('Αποτελέσματα Χρήσης'!G28,'Αποτελέσματα Χρήσης'!G8)&lt;2,"n.a.",IF(('Αποτελέσματα Χρήσης'!G8)&gt;0,('Αποτελέσματα Χρήσης'!G28)/('Αποτελέσματα Χρήσης'!G8),"n.a."))</x:f>
        <x:v>n.a.</x:v>
      </x:c>
      <x:c r="H13" s="37" t="str">
        <x:f>IF(COUNT('Αποτελέσματα Χρήσης'!H28,'Αποτελέσματα Χρήσης'!H8)&lt;2,"n.a.",IF(('Αποτελέσματα Χρήσης'!H8)&gt;0,('Αποτελέσματα Χρήσης'!H28)/('Αποτελέσματα Χρήσης'!H8),"n.a."))</x:f>
        <x:v>n.a.</x:v>
      </x:c>
      <x:c r="I13" s="37" t="str">
        <x:f>IF(COUNT('Αποτελέσματα Χρήσης'!I28,'Αποτελέσματα Χρήσης'!I8)&lt;2,"n.a.",IF(('Αποτελέσματα Χρήσης'!I8)&gt;0,('Αποτελέσματα Χρήσης'!I28)/('Αποτελέσματα Χρήσης'!I8),"n.a."))</x:f>
        <x:v>n.a.</x:v>
      </x:c>
      <x:c r="J13" s="2"/>
      <x:c r="K13" s="2"/>
      <x:c r="L13" s="2"/>
      <x:c r="M13" s="2"/>
    </x:row>
    <x:row r="14" ht="25" customHeight="1">
      <x:c r="A14" s="1"/>
      <x:c r="B14" s="1"/>
      <x:c r="C14" s="34" t="str">
        <x:v>Ισολογισμός ως ποσοστό συνολικού ενεργητικού</x:v>
      </x:c>
      <x:c r="D14" s="34"/>
      <x:c r="E14" s="34"/>
      <x:c r="F14" s="34"/>
      <x:c r="G14" s="34"/>
      <x:c r="H14" s="34"/>
      <x:c r="I14" s="34"/>
      <x:c r="J14" s="2"/>
      <x:c r="K14" s="2"/>
      <x:c r="L14" s="2"/>
      <x:c r="M14" s="2"/>
    </x:row>
    <x:row r="15" ht="23" customHeight="1">
      <x:c r="A15" s="1"/>
      <x:c r="B15" s="1"/>
      <x:c r="C15" s="20" t="str">
        <x:v>Ταμειακά διαθέσιμα και ισοδύναμα</x:v>
      </x:c>
      <x:c r="D15" s="21"/>
      <x:c r="E15" s="37" t="str">
        <x:f>IF(COUNT('Ισολογισμός'!E8,'Ισολογισμός'!E29)&lt;2,"n.a.",IF(('Ισολογισμός'!E29)&gt;0,('Ισολογισμός'!E8)/('Ισολογισμός'!E29),"n.a."))</x:f>
        <x:v>n.a.</x:v>
      </x:c>
      <x:c r="F15" s="37" t="str">
        <x:f>IF(COUNT('Ισολογισμός'!F8,'Ισολογισμός'!F29)&lt;2,"n.a.",IF(('Ισολογισμός'!F29)&gt;0,('Ισολογισμός'!F8)/('Ισολογισμός'!F29),"n.a."))</x:f>
        <x:v>n.a.</x:v>
      </x:c>
      <x:c r="G15" s="37" t="str">
        <x:f>IF(COUNT('Ισολογισμός'!G8,'Ισολογισμός'!G29)&lt;2,"n.a.",IF(('Ισολογισμός'!G29)&gt;0,('Ισολογισμός'!G8)/('Ισολογισμός'!G29),"n.a."))</x:f>
        <x:v>n.a.</x:v>
      </x:c>
      <x:c r="H15" s="37" t="str">
        <x:f>IF(COUNT('Ισολογισμός'!H8,'Ισολογισμός'!H29)&lt;2,"n.a.",IF(('Ισολογισμός'!H29)&gt;0,('Ισολογισμός'!H8)/('Ισολογισμός'!H29),"n.a."))</x:f>
        <x:v>n.a.</x:v>
      </x:c>
      <x:c r="I15" s="37" t="str">
        <x:f>IF(COUNT('Ισολογισμός'!I8,'Ισολογισμός'!I29)&lt;2,"n.a.",IF(('Ισολογισμός'!I29)&gt;0,('Ισολογισμός'!I8)/('Ισολογισμός'!I29),"n.a."))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0" t="str">
        <x:v>Ρευστοποιήσιμες βραχυπρόθεσμες επενδύσεις</x:v>
      </x:c>
      <x:c r="D16" s="21"/>
      <x:c r="E16" s="36" t="str">
        <x:f>IF(COUNT('Ισολογισμός'!E9,'Ισολογισμός'!E29)&lt;2,"n.a.",IF(('Ισολογισμός'!E29)&gt;0,('Ισολογισμός'!E9)/('Ισολογισμός'!E29),"n.a."))</x:f>
        <x:v>n.a.</x:v>
      </x:c>
      <x:c r="F16" s="36" t="str">
        <x:f>IF(COUNT('Ισολογισμός'!F9,'Ισολογισμός'!F29)&lt;2,"n.a.",IF(('Ισολογισμός'!F29)&gt;0,('Ισολογισμός'!F9)/('Ισολογισμός'!F29),"n.a."))</x:f>
        <x:v>n.a.</x:v>
      </x:c>
      <x:c r="G16" s="36" t="str">
        <x:f>IF(COUNT('Ισολογισμός'!G9,'Ισολογισμός'!G29)&lt;2,"n.a.",IF(('Ισολογισμός'!G29)&gt;0,('Ισολογισμός'!G9)/('Ισολογισμός'!G29),"n.a."))</x:f>
        <x:v>n.a.</x:v>
      </x:c>
      <x:c r="H16" s="36" t="str">
        <x:f>IF(COUNT('Ισολογισμός'!H9,'Ισολογισμός'!H29)&lt;2,"n.a.",IF(('Ισολογισμός'!H29)&gt;0,('Ισολογισμός'!H9)/('Ισολογισμός'!H29),"n.a."))</x:f>
        <x:v>n.a.</x:v>
      </x:c>
      <x:c r="I16" s="36" t="str">
        <x:f>IF(COUNT('Ισολογισμός'!I9,'Ισολογισμός'!I29)&lt;2,"n.a.",IF(('Ισολογισμός'!I29)&gt;0,('Ισολογισμός'!I9)/('Ισολογισμός'!I29),"n.a."))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Εμπορικές απαιτήσεις</x:v>
      </x:c>
      <x:c r="D17" s="21"/>
      <x:c r="E17" s="37" t="str">
        <x:f>IF(COUNT('Ισολογισμός'!E10,'Ισολογισμός'!E29)&lt;2,"n.a.",IF(('Ισολογισμός'!E29)&gt;0,('Ισολογισμός'!E10)/('Ισολογισμός'!E29),"n.a."))</x:f>
        <x:v>n.a.</x:v>
      </x:c>
      <x:c r="F17" s="37" t="str">
        <x:f>IF(COUNT('Ισολογισμός'!F10,'Ισολογισμός'!F29)&lt;2,"n.a.",IF(('Ισολογισμός'!F29)&gt;0,('Ισολογισμός'!F10)/('Ισολογισμός'!F29),"n.a."))</x:f>
        <x:v>n.a.</x:v>
      </x:c>
      <x:c r="G17" s="37" t="str">
        <x:f>IF(COUNT('Ισολογισμός'!G10,'Ισολογισμός'!G29)&lt;2,"n.a.",IF(('Ισολογισμός'!G29)&gt;0,('Ισολογισμός'!G10)/('Ισολογισμός'!G29),"n.a."))</x:f>
        <x:v>n.a.</x:v>
      </x:c>
      <x:c r="H17" s="37" t="str">
        <x:f>IF(COUNT('Ισολογισμός'!H10,'Ισολογισμός'!H29)&lt;2,"n.a.",IF(('Ισολογισμός'!H29)&gt;0,('Ισολογισμός'!H10)/('Ισολογισμός'!H29),"n.a."))</x:f>
        <x:v>n.a.</x:v>
      </x:c>
      <x:c r="I17" s="37" t="str">
        <x:f>IF(COUNT('Ισολογισμός'!I10,'Ισολογισμός'!I29)&lt;2,"n.a.",IF(('Ισολογισμός'!I29)&gt;0,('Ισολογισμός'!I10)/('Ισολογισμός'!I29),"n.a."))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0" t="str">
        <x:v>Αποθέματα</x:v>
      </x:c>
      <x:c r="D18" s="21"/>
      <x:c r="E18" s="36" t="str">
        <x:f>IF(COUNT('Ισολογισμός'!E11,'Ισολογισμός'!E29)&lt;2,"n.a.",IF(('Ισολογισμός'!E29)&gt;0,('Ισολογισμός'!E11)/('Ισολογισμός'!E29),"n.a."))</x:f>
        <x:v>n.a.</x:v>
      </x:c>
      <x:c r="F18" s="36" t="str">
        <x:f>IF(COUNT('Ισολογισμός'!F11,'Ισολογισμός'!F29)&lt;2,"n.a.",IF(('Ισολογισμός'!F29)&gt;0,('Ισολογισμός'!F11)/('Ισολογισμός'!F29),"n.a."))</x:f>
        <x:v>n.a.</x:v>
      </x:c>
      <x:c r="G18" s="36" t="str">
        <x:f>IF(COUNT('Ισολογισμός'!G11,'Ισολογισμός'!G29)&lt;2,"n.a.",IF(('Ισολογισμός'!G29)&gt;0,('Ισολογισμός'!G11)/('Ισολογισμός'!G29),"n.a."))</x:f>
        <x:v>n.a.</x:v>
      </x:c>
      <x:c r="H18" s="36" t="str">
        <x:f>IF(COUNT('Ισολογισμός'!H11,'Ισολογισμός'!H29)&lt;2,"n.a.",IF(('Ισολογισμός'!H29)&gt;0,('Ισολογισμός'!H11)/('Ισολογισμός'!H29),"n.a."))</x:f>
        <x:v>n.a.</x:v>
      </x:c>
      <x:c r="I18" s="36" t="str">
        <x:f>IF(COUNT('Ισολογισμός'!I11,'Ισολογισμός'!I29)&lt;2,"n.a.",IF(('Ισολογισμός'!I29)&gt;0,('Ισολογισμός'!I11)/('Ισολογισμός'!I29),"n.a."))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Σύνολο κυκλοφορούντος ενεργητικού</x:v>
      </x:c>
      <x:c r="D19" s="21"/>
      <x:c r="E19" s="37" t="str">
        <x:f>IF(COUNT('Ισολογισμός'!E17,'Ισολογισμός'!E29)&lt;2,"n.a.",IF(('Ισολογισμός'!E29)&gt;0,('Ισολογισμός'!E17)/('Ισολογισμός'!E29),"n.a."))</x:f>
        <x:v>n.a.</x:v>
      </x:c>
      <x:c r="F19" s="37" t="str">
        <x:f>IF(COUNT('Ισολογισμός'!F17,'Ισολογισμός'!F29)&lt;2,"n.a.",IF(('Ισολογισμός'!F29)&gt;0,('Ισολογισμός'!F17)/('Ισολογισμός'!F29),"n.a."))</x:f>
        <x:v>n.a.</x:v>
      </x:c>
      <x:c r="G19" s="37" t="str">
        <x:f>IF(COUNT('Ισολογισμός'!G17,'Ισολογισμός'!G29)&lt;2,"n.a.",IF(('Ισολογισμός'!G29)&gt;0,('Ισολογισμός'!G17)/('Ισολογισμός'!G29),"n.a."))</x:f>
        <x:v>n.a.</x:v>
      </x:c>
      <x:c r="H19" s="37" t="str">
        <x:f>IF(COUNT('Ισολογισμός'!H17,'Ισολογισμός'!H29)&lt;2,"n.a.",IF(('Ισολογισμός'!H29)&gt;0,('Ισολογισμός'!H17)/('Ισολογισμός'!H29),"n.a."))</x:f>
        <x:v>n.a.</x:v>
      </x:c>
      <x:c r="I19" s="37" t="str">
        <x:f>IF(COUNT('Ισολογισμός'!I17,'Ισολογισμός'!I29)&lt;2,"n.a.",IF(('Ισολογισμός'!I29)&gt;0,('Ισολογισμός'!I17)/('Ισολογισμός'!I29),"n.a."))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Ενσώματα πάγια, καθαρή αξία</x:v>
      </x:c>
      <x:c r="D20" s="21"/>
      <x:c r="E20" s="36" t="str">
        <x:f>IF(COUNT('Ισολογισμός'!E19,'Ισολογισμός'!E29)&lt;2,"n.a.",IF(('Ισολογισμός'!E29)&gt;0,('Ισολογισμός'!E19)/('Ισολογισμός'!E29),"n.a."))</x:f>
        <x:v>n.a.</x:v>
      </x:c>
      <x:c r="F20" s="36" t="str">
        <x:f>IF(COUNT('Ισολογισμός'!F19,'Ισολογισμός'!F29)&lt;2,"n.a.",IF(('Ισολογισμός'!F29)&gt;0,('Ισολογισμός'!F19)/('Ισολογισμός'!F29),"n.a."))</x:f>
        <x:v>n.a.</x:v>
      </x:c>
      <x:c r="G20" s="36" t="str">
        <x:f>IF(COUNT('Ισολογισμός'!G19,'Ισολογισμός'!G29)&lt;2,"n.a.",IF(('Ισολογισμός'!G29)&gt;0,('Ισολογισμός'!G19)/('Ισολογισμός'!G29),"n.a."))</x:f>
        <x:v>n.a.</x:v>
      </x:c>
      <x:c r="H20" s="36" t="str">
        <x:f>IF(COUNT('Ισολογισμός'!H19,'Ισολογισμός'!H29)&lt;2,"n.a.",IF(('Ισολογισμός'!H29)&gt;0,('Ισολογισμός'!H19)/('Ισολογισμός'!H29),"n.a."))</x:f>
        <x:v>n.a.</x:v>
      </x:c>
      <x:c r="I20" s="36" t="str">
        <x:f>IF(COUNT('Ισολογισμός'!I19,'Ισολογισμός'!I29)&lt;2,"n.a.",IF(('Ισολογισμός'!I29)&gt;0,('Ισολογισμός'!I19)/('Ισολογισμός'!I29),"n.a."))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Υπεραξία</x:v>
      </x:c>
      <x:c r="D21" s="21"/>
      <x:c r="E21" s="37" t="str">
        <x:f>IF(COUNT('Ισολογισμός'!E21,'Ισολογισμός'!E29)&lt;2,"n.a.",IF(('Ισολογισμός'!E29)&gt;0,('Ισολογισμός'!E21)/('Ισολογισμός'!E29),"n.a."))</x:f>
        <x:v>n.a.</x:v>
      </x:c>
      <x:c r="F21" s="37" t="str">
        <x:f>IF(COUNT('Ισολογισμός'!F21,'Ισολογισμός'!F29)&lt;2,"n.a.",IF(('Ισολογισμός'!F29)&gt;0,('Ισολογισμός'!F21)/('Ισολογισμός'!F29),"n.a."))</x:f>
        <x:v>n.a.</x:v>
      </x:c>
      <x:c r="G21" s="37" t="str">
        <x:f>IF(COUNT('Ισολογισμός'!G21,'Ισολογισμός'!G29)&lt;2,"n.a.",IF(('Ισολογισμός'!G29)&gt;0,('Ισολογισμός'!G21)/('Ισολογισμός'!G29),"n.a."))</x:f>
        <x:v>n.a.</x:v>
      </x:c>
      <x:c r="H21" s="37" t="str">
        <x:f>IF(COUNT('Ισολογισμός'!H21,'Ισολογισμός'!H29)&lt;2,"n.a.",IF(('Ισολογισμός'!H29)&gt;0,('Ισολογισμός'!H21)/('Ισολογισμός'!H29),"n.a."))</x:f>
        <x:v>n.a.</x:v>
      </x:c>
      <x:c r="I21" s="37" t="str">
        <x:f>IF(COUNT('Ισολογισμός'!I21,'Ισολογισμός'!I29)&lt;2,"n.a.",IF(('Ισολογισμός'!I29)&gt;0,('Ισολογισμός'!I21)/('Ισολογισμός'!I29),"n.a."))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Λοιπά άυλα περιουσιακά στοιχεία</x:v>
      </x:c>
      <x:c r="D22" s="21"/>
      <x:c r="E22" s="36" t="str">
        <x:f>IF(COUNT('Ισολογισμός'!E22,'Ισολογισμός'!E29)&lt;2,"n.a.",IF(('Ισολογισμός'!E29)&gt;0,('Ισολογισμός'!E22)/('Ισολογισμός'!E29),"n.a."))</x:f>
        <x:v>n.a.</x:v>
      </x:c>
      <x:c r="F22" s="36" t="str">
        <x:f>IF(COUNT('Ισολογισμός'!F22,'Ισολογισμός'!F29)&lt;2,"n.a.",IF(('Ισολογισμός'!F29)&gt;0,('Ισολογισμός'!F22)/('Ισολογισμός'!F29),"n.a."))</x:f>
        <x:v>n.a.</x:v>
      </x:c>
      <x:c r="G22" s="36" t="str">
        <x:f>IF(COUNT('Ισολογισμός'!G22,'Ισολογισμός'!G29)&lt;2,"n.a.",IF(('Ισολογισμός'!G29)&gt;0,('Ισολογισμός'!G22)/('Ισολογισμός'!G29),"n.a."))</x:f>
        <x:v>n.a.</x:v>
      </x:c>
      <x:c r="H22" s="36" t="str">
        <x:f>IF(COUNT('Ισολογισμός'!H22,'Ισολογισμός'!H29)&lt;2,"n.a.",IF(('Ισολογισμός'!H29)&gt;0,('Ισολογισμός'!H22)/('Ισολογισμός'!H29),"n.a."))</x:f>
        <x:v>n.a.</x:v>
      </x:c>
      <x:c r="I22" s="36" t="str">
        <x:f>IF(COUNT('Ισολογισμός'!I22,'Ισολογισμός'!I29)&lt;2,"n.a.",IF(('Ισολογισμός'!I29)&gt;0,('Ισολογισμός'!I22)/('Ισολογισμός'!I29),"n.a."))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Σύνολο μη κυκλοφορούντος ενεργητικού</x:v>
      </x:c>
      <x:c r="D23" s="21"/>
      <x:c r="E23" s="37" t="str">
        <x:f>IF(COUNT('Ισολογισμός'!E28,'Ισολογισμός'!E29)&lt;2,"n.a.",IF(('Ισολογισμός'!E29)&gt;0,('Ισολογισμός'!E28)/('Ισολογισμός'!E29),"n.a."))</x:f>
        <x:v>n.a.</x:v>
      </x:c>
      <x:c r="F23" s="37" t="str">
        <x:f>IF(COUNT('Ισολογισμός'!F28,'Ισολογισμός'!F29)&lt;2,"n.a.",IF(('Ισολογισμός'!F29)&gt;0,('Ισολογισμός'!F28)/('Ισολογισμός'!F29),"n.a."))</x:f>
        <x:v>n.a.</x:v>
      </x:c>
      <x:c r="G23" s="37" t="str">
        <x:f>IF(COUNT('Ισολογισμός'!G28,'Ισολογισμός'!G29)&lt;2,"n.a.",IF(('Ισολογισμός'!G29)&gt;0,('Ισολογισμός'!G28)/('Ισολογισμός'!G29),"n.a."))</x:f>
        <x:v>n.a.</x:v>
      </x:c>
      <x:c r="H23" s="37" t="str">
        <x:f>IF(COUNT('Ισολογισμός'!H28,'Ισολογισμός'!H29)&lt;2,"n.a.",IF(('Ισολογισμός'!H29)&gt;0,('Ισολογισμός'!H28)/('Ισολογισμός'!H29),"n.a."))</x:f>
        <x:v>n.a.</x:v>
      </x:c>
      <x:c r="I23" s="37" t="str">
        <x:f>IF(COUNT('Ισολογισμός'!I28,'Ισολογισμός'!I29)&lt;2,"n.a.",IF(('Ισολογισμός'!I29)&gt;0,('Ισολογισμός'!I28)/('Ισολογισμός'!I29),"n.a."))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Βραχυπρόθεσμα δάνεια και τρέχουσες δόσεις</x:v>
      </x:c>
      <x:c r="D24" s="21"/>
      <x:c r="E24" s="36" t="str">
        <x:f>IF(COUNT('Ισολογισμός'!E32,'Ισολογισμός'!E29)&lt;2,"n.a.",IF(('Ισολογισμός'!E29)&gt;0,('Ισολογισμός'!E32)/('Ισολογισμός'!E29),"n.a."))</x:f>
        <x:v>n.a.</x:v>
      </x:c>
      <x:c r="F24" s="36" t="str">
        <x:f>IF(COUNT('Ισολογισμός'!F32,'Ισολογισμός'!F29)&lt;2,"n.a.",IF(('Ισολογισμός'!F29)&gt;0,('Ισολογισμός'!F32)/('Ισολογισμός'!F29),"n.a."))</x:f>
        <x:v>n.a.</x:v>
      </x:c>
      <x:c r="G24" s="36" t="str">
        <x:f>IF(COUNT('Ισολογισμός'!G32,'Ισολογισμός'!G29)&lt;2,"n.a.",IF(('Ισολογισμός'!G29)&gt;0,('Ισολογισμός'!G32)/('Ισολογισμός'!G29),"n.a."))</x:f>
        <x:v>n.a.</x:v>
      </x:c>
      <x:c r="H24" s="36" t="str">
        <x:f>IF(COUNT('Ισολογισμός'!H32,'Ισολογισμός'!H29)&lt;2,"n.a.",IF(('Ισολογισμός'!H29)&gt;0,('Ισολογισμός'!H32)/('Ισολογισμός'!H29),"n.a."))</x:f>
        <x:v>n.a.</x:v>
      </x:c>
      <x:c r="I24" s="36" t="str">
        <x:f>IF(COUNT('Ισολογισμός'!I32,'Ισολογισμός'!I29)&lt;2,"n.a.",IF(('Ισολογισμός'!I29)&gt;0,('Ισολογισμός'!I32)/('Ισολογισμός'!I29),"n.a."))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Μακροπρόθεσμα δάνεια</x:v>
      </x:c>
      <x:c r="D25" s="21"/>
      <x:c r="E25" s="37" t="str">
        <x:f>IF(COUNT('Ισολογισμός'!E39,'Ισολογισμός'!E29)&lt;2,"n.a.",IF(('Ισολογισμός'!E29)&gt;0,('Ισολογισμός'!E39)/('Ισολογισμός'!E29),"n.a."))</x:f>
        <x:v>n.a.</x:v>
      </x:c>
      <x:c r="F25" s="37" t="str">
        <x:f>IF(COUNT('Ισολογισμός'!F39,'Ισολογισμός'!F29)&lt;2,"n.a.",IF(('Ισολογισμός'!F29)&gt;0,('Ισολογισμός'!F39)/('Ισολογισμός'!F29),"n.a."))</x:f>
        <x:v>n.a.</x:v>
      </x:c>
      <x:c r="G25" s="37" t="str">
        <x:f>IF(COUNT('Ισολογισμός'!G39,'Ισολογισμός'!G29)&lt;2,"n.a.",IF(('Ισολογισμός'!G29)&gt;0,('Ισολογισμός'!G39)/('Ισολογισμός'!G29),"n.a."))</x:f>
        <x:v>n.a.</x:v>
      </x:c>
      <x:c r="H25" s="37" t="str">
        <x:f>IF(COUNT('Ισολογισμός'!H39,'Ισολογισμός'!H29)&lt;2,"n.a.",IF(('Ισολογισμός'!H29)&gt;0,('Ισολογισμός'!H39)/('Ισολογισμός'!H29),"n.a."))</x:f>
        <x:v>n.a.</x:v>
      </x:c>
      <x:c r="I25" s="37" t="str">
        <x:f>IF(COUNT('Ισολογισμός'!I39,'Ισολογισμός'!I29)&lt;2,"n.a.",IF(('Ισολογισμός'!I29)&gt;0,('Ισολογισμός'!I39)/('Ισολογισμός'!I29),"n.a."))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0" t="str">
        <x:v>Σύνολο βραχυπρόθεσμων υποχρεώσεων</x:v>
      </x:c>
      <x:c r="D26" s="21"/>
      <x:c r="E26" s="36" t="str">
        <x:f>IF(COUNT('Ισολογισμός'!E37,'Ισολογισμός'!E29)&lt;2,"n.a.",IF(('Ισολογισμός'!E29)&gt;0,('Ισολογισμός'!E37)/('Ισολογισμός'!E29),"n.a."))</x:f>
        <x:v>n.a.</x:v>
      </x:c>
      <x:c r="F26" s="36" t="str">
        <x:f>IF(COUNT('Ισολογισμός'!F37,'Ισολογισμός'!F29)&lt;2,"n.a.",IF(('Ισολογισμός'!F29)&gt;0,('Ισολογισμός'!F37)/('Ισολογισμός'!F29),"n.a."))</x:f>
        <x:v>n.a.</x:v>
      </x:c>
      <x:c r="G26" s="36" t="str">
        <x:f>IF(COUNT('Ισολογισμός'!G37,'Ισολογισμός'!G29)&lt;2,"n.a.",IF(('Ισολογισμός'!G29)&gt;0,('Ισολογισμός'!G37)/('Ισολογισμός'!G29),"n.a."))</x:f>
        <x:v>n.a.</x:v>
      </x:c>
      <x:c r="H26" s="36" t="str">
        <x:f>IF(COUNT('Ισολογισμός'!H37,'Ισολογισμός'!H29)&lt;2,"n.a.",IF(('Ισολογισμός'!H29)&gt;0,('Ισολογισμός'!H37)/('Ισολογισμός'!H29),"n.a."))</x:f>
        <x:v>n.a.</x:v>
      </x:c>
      <x:c r="I26" s="36" t="str">
        <x:f>IF(COUNT('Ισολογισμός'!I37,'Ισολογισμός'!I29)&lt;2,"n.a.",IF(('Ισολογισμός'!I29)&gt;0,('Ισολογισμός'!I37)/('Ισολογισμός'!I29),"n.a."))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Σύνολο μακροπρόθεσμων υποχρεώσεων</x:v>
      </x:c>
      <x:c r="D27" s="21"/>
      <x:c r="E27" s="37" t="str">
        <x:f>IF(COUNT('Ισολογισμός'!E44,'Ισολογισμός'!E29)&lt;2,"n.a.",IF(('Ισολογισμός'!E29)&gt;0,('Ισολογισμός'!E44)/('Ισολογισμός'!E29),"n.a."))</x:f>
        <x:v>n.a.</x:v>
      </x:c>
      <x:c r="F27" s="37" t="str">
        <x:f>IF(COUNT('Ισολογισμός'!F44,'Ισολογισμός'!F29)&lt;2,"n.a.",IF(('Ισολογισμός'!F29)&gt;0,('Ισολογισμός'!F44)/('Ισολογισμός'!F29),"n.a."))</x:f>
        <x:v>n.a.</x:v>
      </x:c>
      <x:c r="G27" s="37" t="str">
        <x:f>IF(COUNT('Ισολογισμός'!G44,'Ισολογισμός'!G29)&lt;2,"n.a.",IF(('Ισολογισμός'!G29)&gt;0,('Ισολογισμός'!G44)/('Ισολογισμός'!G29),"n.a."))</x:f>
        <x:v>n.a.</x:v>
      </x:c>
      <x:c r="H27" s="37" t="str">
        <x:f>IF(COUNT('Ισολογισμός'!H44,'Ισολογισμός'!H29)&lt;2,"n.a.",IF(('Ισολογισμός'!H29)&gt;0,('Ισολογισμός'!H44)/('Ισολογισμός'!H29),"n.a."))</x:f>
        <x:v>n.a.</x:v>
      </x:c>
      <x:c r="I27" s="37" t="str">
        <x:f>IF(COUNT('Ισολογισμός'!I44,'Ισολογισμός'!I29)&lt;2,"n.a.",IF(('Ισολογισμός'!I29)&gt;0,('Ισολογισμός'!I44)/('Ισολογισμός'!I29),"n.a."))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0" t="str">
        <x:v>Σύνολο υποχρεώσεων</x:v>
      </x:c>
      <x:c r="D28" s="21"/>
      <x:c r="E28" s="36" t="str">
        <x:f>IF(COUNT('Ισολογισμός'!E45,'Ισολογισμός'!E29)&lt;2,"n.a.",IF(('Ισολογισμός'!E29)&gt;0,('Ισολογισμός'!E45)/('Ισολογισμός'!E29),"n.a."))</x:f>
        <x:v>n.a.</x:v>
      </x:c>
      <x:c r="F28" s="36" t="str">
        <x:f>IF(COUNT('Ισολογισμός'!F45,'Ισολογισμός'!F29)&lt;2,"n.a.",IF(('Ισολογισμός'!F29)&gt;0,('Ισολογισμός'!F45)/('Ισολογισμός'!F29),"n.a."))</x:f>
        <x:v>n.a.</x:v>
      </x:c>
      <x:c r="G28" s="36" t="str">
        <x:f>IF(COUNT('Ισολογισμός'!G45,'Ισολογισμός'!G29)&lt;2,"n.a.",IF(('Ισολογισμός'!G29)&gt;0,('Ισολογισμός'!G45)/('Ισολογισμός'!G29),"n.a."))</x:f>
        <x:v>n.a.</x:v>
      </x:c>
      <x:c r="H28" s="36" t="str">
        <x:f>IF(COUNT('Ισολογισμός'!H45,'Ισολογισμός'!H29)&lt;2,"n.a.",IF(('Ισολογισμός'!H29)&gt;0,('Ισολογισμός'!H45)/('Ισολογισμός'!H29),"n.a."))</x:f>
        <x:v>n.a.</x:v>
      </x:c>
      <x:c r="I28" s="36" t="str">
        <x:f>IF(COUNT('Ισολογισμός'!I45,'Ισολογισμός'!I29)&lt;2,"n.a.",IF(('Ισολογισμός'!I29)&gt;0,('Ισολογισμός'!I45)/('Ισολογισμός'!I29),"n.a."))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0" t="str">
        <x:v>Σύνολο ιδίων κεφαλαίων</x:v>
      </x:c>
      <x:c r="D29" s="21"/>
      <x:c r="E29" s="37" t="str">
        <x:f>IF(COUNT('Ισολογισμός'!E52,'Ισολογισμός'!E29)&lt;2,"n.a.",IF(('Ισολογισμός'!E29)&gt;0,('Ισολογισμός'!E52)/('Ισολογισμός'!E29),"n.a."))</x:f>
        <x:v>n.a.</x:v>
      </x:c>
      <x:c r="F29" s="37" t="str">
        <x:f>IF(COUNT('Ισολογισμός'!F52,'Ισολογισμός'!F29)&lt;2,"n.a.",IF(('Ισολογισμός'!F29)&gt;0,('Ισολογισμός'!F52)/('Ισολογισμός'!F29),"n.a."))</x:f>
        <x:v>n.a.</x:v>
      </x:c>
      <x:c r="G29" s="37" t="str">
        <x:f>IF(COUNT('Ισολογισμός'!G52,'Ισολογισμός'!G29)&lt;2,"n.a.",IF(('Ισολογισμός'!G29)&gt;0,('Ισολογισμός'!G52)/('Ισολογισμός'!G29),"n.a."))</x:f>
        <x:v>n.a.</x:v>
      </x:c>
      <x:c r="H29" s="37" t="str">
        <x:f>IF(COUNT('Ισολογισμός'!H52,'Ισολογισμός'!H29)&lt;2,"n.a.",IF(('Ισολογισμός'!H29)&gt;0,('Ισολογισμός'!H52)/('Ισολογισμός'!H29),"n.a."))</x:f>
        <x:v>n.a.</x:v>
      </x:c>
      <x:c r="I29" s="37" t="str">
        <x:f>IF(COUNT('Ισολογισμός'!I52,'Ισολογισμός'!I29)&lt;2,"n.a.",IF(('Ισολογισμός'!I29)&gt;0,('Ισολογισμός'!I52)/('Ισολογισμός'!I29),"n.a."))</x:f>
        <x:v>n.a.</x:v>
      </x:c>
      <x:c r="J29" s="2"/>
      <x:c r="K29" s="2"/>
      <x:c r="L29" s="2"/>
      <x:c r="M29" s="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A32" s="1"/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Υπολογισμοί Κεφαλαίων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Χρέος, επενδεδυμένα κεφάλαια και μέσοι όροι αρχής και τέλους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Βάσεις κεφαλαίων και κερδών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Τοκοφόρο χρέος μαζί με μισθώσεις</x:v>
      </x:c>
      <x:c r="D8" s="39" t="str">
        <x:f>IF(COUNT('Ισολογισμός'!D32,'Ισολογισμός'!D39,'Ισολογισμός'!D33,'Ισολογισμός'!D40)&lt;4,"n.a.",IF(TRUE,'Ισολογισμός'!D32+'Ισολογισμός'!D39+'Ισολογισμός'!D33+'Ισολογισμός'!D40,"n.a."))</x:f>
        <x:v>n.a.</x:v>
      </x:c>
      <x:c r="E8" s="39" t="str">
        <x:f>IF(COUNT('Ισολογισμός'!E32,'Ισολογισμός'!E39,'Ισολογισμός'!E33,'Ισολογισμός'!E40)&lt;4,"n.a.",IF(TRUE,'Ισολογισμός'!E32+'Ισολογισμός'!E39+'Ισολογισμός'!E33+'Ισολογισμός'!E40,"n.a."))</x:f>
        <x:v>n.a.</x:v>
      </x:c>
      <x:c r="F8" s="39" t="str">
        <x:f>IF(COUNT('Ισολογισμός'!F32,'Ισολογισμός'!F39,'Ισολογισμός'!F33,'Ισολογισμός'!F40)&lt;4,"n.a.",IF(TRUE,'Ισολογισμός'!F32+'Ισολογισμός'!F39+'Ισολογισμός'!F33+'Ισολογισμός'!F40,"n.a."))</x:f>
        <x:v>n.a.</x:v>
      </x:c>
      <x:c r="G8" s="39" t="str">
        <x:f>IF(COUNT('Ισολογισμός'!G32,'Ισολογισμός'!G39,'Ισολογισμός'!G33,'Ισολογισμός'!G40)&lt;4,"n.a.",IF(TRUE,'Ισολογισμός'!G32+'Ισολογισμός'!G39+'Ισολογισμός'!G33+'Ισολογισμός'!G40,"n.a."))</x:f>
        <x:v>n.a.</x:v>
      </x:c>
      <x:c r="H8" s="39" t="str">
        <x:f>IF(COUNT('Ισολογισμός'!H32,'Ισολογισμός'!H39,'Ισολογισμός'!H33,'Ισολογισμός'!H40)&lt;4,"n.a.",IF(TRUE,'Ισολογισμός'!H32+'Ισολογισμός'!H39+'Ισολογισμός'!H33+'Ισολογισμός'!H40,"n.a."))</x:f>
        <x:v>n.a.</x:v>
      </x:c>
      <x:c r="I8" s="39" t="str">
        <x:f>IF(COUNT('Ισολογισμός'!I32,'Ισολογισμός'!I39,'Ισολογισμός'!I33,'Ισολογισμός'!I40)&lt;4,"n.a.",IF(TRUE,'Ισολογισμός'!I32+'Ισολογισμός'!I39+'Ισολογισμός'!I33+'Ισολογισμός'!I40,"n.a."))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" t="str">
        <x:v>Καθαρό χρέος μετά διαθέσιμα και ρευστές επενδύσεις</x:v>
      </x:c>
      <x:c r="D9" s="43" t="str">
        <x:f>IF(COUNT('Υπολογισμοί Κεφαλαίων'!D8,'Ισολογισμός'!D8,'Ισολογισμός'!D9)&lt;3,"n.a.",IF(TRUE,'Υπολογισμοί Κεφαλαίων'!D8-'Ισολογισμός'!D8-'Ισολογισμός'!D9,"n.a."))</x:f>
        <x:v>n.a.</x:v>
      </x:c>
      <x:c r="E9" s="43" t="str">
        <x:f>IF(COUNT('Υπολογισμοί Κεφαλαίων'!E8,'Ισολογισμός'!E8,'Ισολογισμός'!E9)&lt;3,"n.a.",IF(TRUE,'Υπολογισμοί Κεφαλαίων'!E8-'Ισολογισμός'!E8-'Ισολογισμός'!E9,"n.a."))</x:f>
        <x:v>n.a.</x:v>
      </x:c>
      <x:c r="F9" s="43" t="str">
        <x:f>IF(COUNT('Υπολογισμοί Κεφαλαίων'!F8,'Ισολογισμός'!F8,'Ισολογισμός'!F9)&lt;3,"n.a.",IF(TRUE,'Υπολογισμοί Κεφαλαίων'!F8-'Ισολογισμός'!F8-'Ισολογισμός'!F9,"n.a."))</x:f>
        <x:v>n.a.</x:v>
      </x:c>
      <x:c r="G9" s="43" t="str">
        <x:f>IF(COUNT('Υπολογισμοί Κεφαλαίων'!G8,'Ισολογισμός'!G8,'Ισολογισμός'!G9)&lt;3,"n.a.",IF(TRUE,'Υπολογισμοί Κεφαλαίων'!G8-'Ισολογισμός'!G8-'Ισολογισμός'!G9,"n.a."))</x:f>
        <x:v>n.a.</x:v>
      </x:c>
      <x:c r="H9" s="43" t="str">
        <x:f>IF(COUNT('Υπολογισμοί Κεφαλαίων'!H8,'Ισολογισμός'!H8,'Ισολογισμός'!H9)&lt;3,"n.a.",IF(TRUE,'Υπολογισμοί Κεφαλαίων'!H8-'Ισολογισμός'!H8-'Ισολογισμός'!H9,"n.a."))</x:f>
        <x:v>n.a.</x:v>
      </x:c>
      <x:c r="I9" s="43" t="str">
        <x:f>IF(COUNT('Υπολογισμοί Κεφαλαίων'!I8,'Ισολογισμός'!I8,'Ισολογισμός'!I9)&lt;3,"n.a.",IF(TRUE,'Υπολογισμοί Κεφαλαίων'!I8-'Ισολογισμός'!I8-'Ισολογισμός'!I9,"n.a."))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Καθαρό κεφάλαιο κίνησης</x:v>
      </x:c>
      <x:c r="D10" s="39" t="str">
        <x:f>IF(COUNT('Ισολογισμός'!D17,'Ισολογισμός'!D37)&lt;2,"n.a.",IF(TRUE,'Ισολογισμός'!D17-'Ισολογισμός'!D37,"n.a."))</x:f>
        <x:v>n.a.</x:v>
      </x:c>
      <x:c r="E10" s="39" t="str">
        <x:f>IF(COUNT('Ισολογισμός'!E17,'Ισολογισμός'!E37)&lt;2,"n.a.",IF(TRUE,'Ισολογισμός'!E17-'Ισολογισμός'!E37,"n.a."))</x:f>
        <x:v>n.a.</x:v>
      </x:c>
      <x:c r="F10" s="39" t="str">
        <x:f>IF(COUNT('Ισολογισμός'!F17,'Ισολογισμός'!F37)&lt;2,"n.a.",IF(TRUE,'Ισολογισμός'!F17-'Ισολογισμός'!F37,"n.a."))</x:f>
        <x:v>n.a.</x:v>
      </x:c>
      <x:c r="G10" s="39" t="str">
        <x:f>IF(COUNT('Ισολογισμός'!G17,'Ισολογισμός'!G37)&lt;2,"n.a.",IF(TRUE,'Ισολογισμός'!G17-'Ισολογισμός'!G37,"n.a."))</x:f>
        <x:v>n.a.</x:v>
      </x:c>
      <x:c r="H10" s="39" t="str">
        <x:f>IF(COUNT('Ισολογισμός'!H17,'Ισολογισμός'!H37)&lt;2,"n.a.",IF(TRUE,'Ισολογισμός'!H17-'Ισολογισμός'!H37,"n.a."))</x:f>
        <x:v>n.a.</x:v>
      </x:c>
      <x:c r="I10" s="39" t="str">
        <x:f>IF(COUNT('Ισολογισμός'!I17,'Ισολογισμός'!I37)&lt;2,"n.a.",IF(TRUE,'Ισολογισμός'!I17-'Ισολογισμός'!I37,"n.a."))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Λειτουργικό κεφάλαιο κίνησης</x:v>
      </x:c>
      <x:c r="D11" s="43" t="str">
        <x:f>IF(COUNT('Ισολογισμός'!D10,'Ισολογισμός'!D11,'Ισολογισμός'!D31)&lt;3,"n.a.",IF(TRUE,'Ισολογισμός'!D10+'Ισολογισμός'!D11-'Ισολογισμός'!D31,"n.a."))</x:f>
        <x:v>n.a.</x:v>
      </x:c>
      <x:c r="E11" s="43" t="str">
        <x:f>IF(COUNT('Ισολογισμός'!E10,'Ισολογισμός'!E11,'Ισολογισμός'!E31)&lt;3,"n.a.",IF(TRUE,'Ισολογισμός'!E10+'Ισολογισμός'!E11-'Ισολογισμός'!E31,"n.a."))</x:f>
        <x:v>n.a.</x:v>
      </x:c>
      <x:c r="F11" s="43" t="str">
        <x:f>IF(COUNT('Ισολογισμός'!F10,'Ισολογισμός'!F11,'Ισολογισμός'!F31)&lt;3,"n.a.",IF(TRUE,'Ισολογισμός'!F10+'Ισολογισμός'!F11-'Ισολογισμός'!F31,"n.a."))</x:f>
        <x:v>n.a.</x:v>
      </x:c>
      <x:c r="G11" s="43" t="str">
        <x:f>IF(COUNT('Ισολογισμός'!G10,'Ισολογισμός'!G11,'Ισολογισμός'!G31)&lt;3,"n.a.",IF(TRUE,'Ισολογισμός'!G10+'Ισολογισμός'!G11-'Ισολογισμός'!G31,"n.a."))</x:f>
        <x:v>n.a.</x:v>
      </x:c>
      <x:c r="H11" s="43" t="str">
        <x:f>IF(COUNT('Ισολογισμός'!H10,'Ισολογισμός'!H11,'Ισολογισμός'!H31)&lt;3,"n.a.",IF(TRUE,'Ισολογισμός'!H10+'Ισολογισμός'!H11-'Ισολογισμός'!H31,"n.a."))</x:f>
        <x:v>n.a.</x:v>
      </x:c>
      <x:c r="I11" s="43" t="str">
        <x:f>IF(COUNT('Ισολογισμός'!I10,'Ισολογισμός'!I11,'Ισολογισμός'!I31)&lt;3,"n.a.",IF(TRUE,'Ισολογισμός'!I10+'Ισολογισμός'!I11-'Ισολογισμός'!I31,"n.a."))</x:f>
        <x:v>n.a.</x:v>
      </x:c>
      <x:c r="J11" s="2"/>
      <x:c r="K11" s="2" t="str">
        <x:v>Εμπορικές απαιτήσεις + αποθέματα − προμηθευτές.</x:v>
      </x:c>
      <x:c r="L11" s="2"/>
      <x:c r="M11" s="2"/>
    </x:row>
    <x:row r="12" ht="23" customHeight="1">
      <x:c r="A12" s="1"/>
      <x:c r="B12" s="1"/>
      <x:c r="C12" s="2" t="str">
        <x:v>Επενδεδυμένα κεφάλαια μετά αφαίρεση διαθεσίμων</x:v>
      </x:c>
      <x:c r="D12" s="39" t="str">
        <x:f>IF(COUNT('Υπολογισμοί Κεφαλαίων'!D8,'Ισολογισμός'!D52,'Ισολογισμός'!D8,'Ισολογισμός'!D9)&lt;4,"n.a.",IF(TRUE,'Υπολογισμοί Κεφαλαίων'!D8+'Ισολογισμός'!D52-'Ισολογισμός'!D8-'Ισολογισμός'!D9,"n.a."))</x:f>
        <x:v>n.a.</x:v>
      </x:c>
      <x:c r="E12" s="39" t="str">
        <x:f>IF(COUNT('Υπολογισμοί Κεφαλαίων'!E8,'Ισολογισμός'!E52,'Ισολογισμός'!E8,'Ισολογισμός'!E9)&lt;4,"n.a.",IF(TRUE,'Υπολογισμοί Κεφαλαίων'!E8+'Ισολογισμός'!E52-'Ισολογισμός'!E8-'Ισολογισμός'!E9,"n.a."))</x:f>
        <x:v>n.a.</x:v>
      </x:c>
      <x:c r="F12" s="39" t="str">
        <x:f>IF(COUNT('Υπολογισμοί Κεφαλαίων'!F8,'Ισολογισμός'!F52,'Ισολογισμός'!F8,'Ισολογισμός'!F9)&lt;4,"n.a.",IF(TRUE,'Υπολογισμοί Κεφαλαίων'!F8+'Ισολογισμός'!F52-'Ισολογισμός'!F8-'Ισολογισμός'!F9,"n.a."))</x:f>
        <x:v>n.a.</x:v>
      </x:c>
      <x:c r="G12" s="39" t="str">
        <x:f>IF(COUNT('Υπολογισμοί Κεφαλαίων'!G8,'Ισολογισμός'!G52,'Ισολογισμός'!G8,'Ισολογισμός'!G9)&lt;4,"n.a.",IF(TRUE,'Υπολογισμοί Κεφαλαίων'!G8+'Ισολογισμός'!G52-'Ισολογισμός'!G8-'Ισολογισμός'!G9,"n.a."))</x:f>
        <x:v>n.a.</x:v>
      </x:c>
      <x:c r="H12" s="39" t="str">
        <x:f>IF(COUNT('Υπολογισμοί Κεφαλαίων'!H8,'Ισολογισμός'!H52,'Ισολογισμός'!H8,'Ισολογισμός'!H9)&lt;4,"n.a.",IF(TRUE,'Υπολογισμοί Κεφαλαίων'!H8+'Ισολογισμός'!H52-'Ισολογισμός'!H8-'Ισολογισμός'!H9,"n.a."))</x:f>
        <x:v>n.a.</x:v>
      </x:c>
      <x:c r="I12" s="39" t="str">
        <x:f>IF(COUNT('Υπολογισμοί Κεφαλαίων'!I8,'Ισολογισμός'!I52,'Ισολογισμός'!I8,'Ισολογισμός'!I9)&lt;4,"n.a.",IF(TRUE,'Υπολογισμοί Κεφαλαίων'!I8+'Ισολογισμός'!I52-'Ισολογισμός'!I8-'Ισολογισμός'!I9,"n.a."))</x:f>
        <x:v>n.a.</x:v>
      </x:c>
      <x:c r="J12" s="2"/>
      <x:c r="K12" s="2" t="str">
        <x:v>Περιλαμβάνει μισθώσεις. Αφαιρεί όλα τα διαθέσιμα και τις ρευστές επενδύσεις.</x:v>
      </x:c>
      <x:c r="L12" s="2"/>
      <x:c r="M12" s="2"/>
    </x:row>
    <x:row r="13" ht="23" customHeight="1">
      <x:c r="A13" s="1"/>
      <x:c r="B13" s="1"/>
      <x:c r="C13" s="2" t="str">
        <x:v>Απασχολούμενα κεφάλαια</x:v>
      </x:c>
      <x:c r="D13" s="43" t="str">
        <x:f>IF(COUNT('Ισολογισμός'!D29,'Ισολογισμός'!D37)&lt;2,"n.a.",IF(TRUE,'Ισολογισμός'!D29-'Ισολογισμός'!D37,"n.a."))</x:f>
        <x:v>n.a.</x:v>
      </x:c>
      <x:c r="E13" s="43" t="str">
        <x:f>IF(COUNT('Ισολογισμός'!E29,'Ισολογισμός'!E37)&lt;2,"n.a.",IF(TRUE,'Ισολογισμός'!E29-'Ισολογισμός'!E37,"n.a."))</x:f>
        <x:v>n.a.</x:v>
      </x:c>
      <x:c r="F13" s="43" t="str">
        <x:f>IF(COUNT('Ισολογισμός'!F29,'Ισολογισμός'!F37)&lt;2,"n.a.",IF(TRUE,'Ισολογισμός'!F29-'Ισολογισμός'!F37,"n.a."))</x:f>
        <x:v>n.a.</x:v>
      </x:c>
      <x:c r="G13" s="43" t="str">
        <x:f>IF(COUNT('Ισολογισμός'!G29,'Ισολογισμός'!G37)&lt;2,"n.a.",IF(TRUE,'Ισολογισμός'!G29-'Ισολογισμός'!G37,"n.a."))</x:f>
        <x:v>n.a.</x:v>
      </x:c>
      <x:c r="H13" s="43" t="str">
        <x:f>IF(COUNT('Ισολογισμός'!H29,'Ισολογισμός'!H37)&lt;2,"n.a.",IF(TRUE,'Ισολογισμός'!H29-'Ισολογισμός'!H37,"n.a."))</x:f>
        <x:v>n.a.</x:v>
      </x:c>
      <x:c r="I13" s="43" t="str">
        <x:f>IF(COUNT('Ισολογισμός'!I29,'Ισολογισμός'!I37)&lt;2,"n.a.",IF(TRUE,'Ισολογισμός'!I29-'Ισολογισμός'!I37,"n.a."))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Ίδια κεφάλαια κοινών μετόχων μητρικής</x:v>
      </x:c>
      <x:c r="D14" s="39" t="str">
        <x:f>IF(COUNT('Ισολογισμός'!D50,'Ισολογισμός'!D53)&lt;2,"n.a.",IF(TRUE,'Ισολογισμός'!D50-'Ισολογισμός'!D53,"n.a."))</x:f>
        <x:v>n.a.</x:v>
      </x:c>
      <x:c r="E14" s="39" t="str">
        <x:f>IF(COUNT('Ισολογισμός'!E50,'Ισολογισμός'!E53)&lt;2,"n.a.",IF(TRUE,'Ισολογισμός'!E50-'Ισολογισμός'!E53,"n.a."))</x:f>
        <x:v>n.a.</x:v>
      </x:c>
      <x:c r="F14" s="39" t="str">
        <x:f>IF(COUNT('Ισολογισμός'!F50,'Ισολογισμός'!F53)&lt;2,"n.a.",IF(TRUE,'Ισολογισμός'!F50-'Ισολογισμός'!F53,"n.a."))</x:f>
        <x:v>n.a.</x:v>
      </x:c>
      <x:c r="G14" s="39" t="str">
        <x:f>IF(COUNT('Ισολογισμός'!G50,'Ισολογισμός'!G53)&lt;2,"n.a.",IF(TRUE,'Ισολογισμός'!G50-'Ισολογισμός'!G53,"n.a."))</x:f>
        <x:v>n.a.</x:v>
      </x:c>
      <x:c r="H14" s="39" t="str">
        <x:f>IF(COUNT('Ισολογισμός'!H50,'Ισολογισμός'!H53)&lt;2,"n.a.",IF(TRUE,'Ισολογισμός'!H50-'Ισολογισμός'!H53,"n.a."))</x:f>
        <x:v>n.a.</x:v>
      </x:c>
      <x:c r="I14" s="39" t="str">
        <x:f>IF(COUNT('Ισολογισμός'!I50,'Ισολογισμός'!I53)&lt;2,"n.a.",IF(TRUE,'Ισολογισμός'!I50-'Ισολογισμός'!I53,"n.a."))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" t="str">
        <x:v>Κέρδη που αναλογούν στις κοινές μετοχές</x:v>
      </x:c>
      <x:c r="D15" s="43" t="str">
        <x:f>IF(COUNT('Αποτελέσματα Χρήσης'!D29,'Αποτελέσματα Χρήσης'!D31)&lt;2,"n.a.",IF(TRUE,'Αποτελέσματα Χρήσης'!D29-'Αποτελέσματα Χρήσης'!D31,"n.a."))</x:f>
        <x:v>n.a.</x:v>
      </x:c>
      <x:c r="E15" s="43" t="str">
        <x:f>IF(COUNT('Αποτελέσματα Χρήσης'!E29,'Αποτελέσματα Χρήσης'!E31)&lt;2,"n.a.",IF(TRUE,'Αποτελέσματα Χρήσης'!E29-'Αποτελέσματα Χρήσης'!E31,"n.a."))</x:f>
        <x:v>n.a.</x:v>
      </x:c>
      <x:c r="F15" s="43" t="str">
        <x:f>IF(COUNT('Αποτελέσματα Χρήσης'!F29,'Αποτελέσματα Χρήσης'!F31)&lt;2,"n.a.",IF(TRUE,'Αποτελέσματα Χρήσης'!F29-'Αποτελέσματα Χρήσης'!F31,"n.a."))</x:f>
        <x:v>n.a.</x:v>
      </x:c>
      <x:c r="G15" s="43" t="str">
        <x:f>IF(COUNT('Αποτελέσματα Χρήσης'!G29,'Αποτελέσματα Χρήσης'!G31)&lt;2,"n.a.",IF(TRUE,'Αποτελέσματα Χρήσης'!G29-'Αποτελέσματα Χρήσης'!G31,"n.a."))</x:f>
        <x:v>n.a.</x:v>
      </x:c>
      <x:c r="H15" s="43" t="str">
        <x:f>IF(COUNT('Αποτελέσματα Χρήσης'!H29,'Αποτελέσματα Χρήσης'!H31)&lt;2,"n.a.",IF(TRUE,'Αποτελέσματα Χρήσης'!H29-'Αποτελέσματα Χρήσης'!H31,"n.a."))</x:f>
        <x:v>n.a.</x:v>
      </x:c>
      <x:c r="I15" s="43" t="str">
        <x:f>IF(COUNT('Αποτελέσματα Χρήσης'!I29,'Αποτελέσματα Χρήσης'!I31)&lt;2,"n.a.",IF(TRUE,'Αποτελέσματα Χρήσης'!I29-'Αποτελέσματα Χρήσης'!I31,"n.a."))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 t="str">
        <x:v>Υπολογισμένο EBITDA</x:v>
      </x:c>
      <x:c r="D16" s="39" t="str">
        <x:f>IF(COUNT('Αποτελέσματα Χρήσης'!D16,'Αποτελέσματα Χρήσης'!D17)&lt;2,"n.a.",IF(TRUE,'Αποτελέσματα Χρήσης'!D16+'Αποτελέσματα Χρήσης'!D17,"n.a."))</x:f>
        <x:v>n.a.</x:v>
      </x:c>
      <x:c r="E16" s="39" t="str">
        <x:f>IF(COUNT('Αποτελέσματα Χρήσης'!E16,'Αποτελέσματα Χρήσης'!E17)&lt;2,"n.a.",IF(TRUE,'Αποτελέσματα Χρήσης'!E16+'Αποτελέσματα Χρήσης'!E17,"n.a."))</x:f>
        <x:v>n.a.</x:v>
      </x:c>
      <x:c r="F16" s="39" t="str">
        <x:f>IF(COUNT('Αποτελέσματα Χρήσης'!F16,'Αποτελέσματα Χρήσης'!F17)&lt;2,"n.a.",IF(TRUE,'Αποτελέσματα Χρήσης'!F16+'Αποτελέσματα Χρήσης'!F17,"n.a."))</x:f>
        <x:v>n.a.</x:v>
      </x:c>
      <x:c r="G16" s="39" t="str">
        <x:f>IF(COUNT('Αποτελέσματα Χρήσης'!G16,'Αποτελέσματα Χρήσης'!G17)&lt;2,"n.a.",IF(TRUE,'Αποτελέσματα Χρήσης'!G16+'Αποτελέσματα Χρήσης'!G17,"n.a."))</x:f>
        <x:v>n.a.</x:v>
      </x:c>
      <x:c r="H16" s="39" t="str">
        <x:f>IF(COUNT('Αποτελέσματα Χρήσης'!H16,'Αποτελέσματα Χρήσης'!H17)&lt;2,"n.a.",IF(TRUE,'Αποτελέσματα Χρήσης'!H16+'Αποτελέσματα Χρήσης'!H17,"n.a."))</x:f>
        <x:v>n.a.</x:v>
      </x:c>
      <x:c r="I16" s="39" t="str">
        <x:f>IF(COUNT('Αποτελέσματα Χρήσης'!I16,'Αποτελέσματα Χρήσης'!I17)&lt;2,"n.a.",IF(TRUE,'Αποτελέσματα Χρήσης'!I16+'Αποτελέσματα Χρήσης'!I17,"n.a."))</x:f>
        <x:v>n.a.</x:v>
      </x:c>
      <x:c r="J16" s="2"/>
      <x:c r="K16" s="2" t="str">
        <x:v>Μη προσαρμοσμένο EBIT συν συνολικές αποσβέσεις, χωρίς διπλομέτρηση.</x:v>
      </x:c>
      <x:c r="L16" s="2"/>
      <x:c r="M16" s="2"/>
    </x:row>
    <x:row r="17" ht="23" customHeight="1">
      <x:c r="A17" s="1"/>
      <x:c r="B17" s="1"/>
      <x:c r="C17" s="2" t="str">
        <x:v>Λειτουργικά έξοδα εκτός κόστους πωληθέντων</x:v>
      </x:c>
      <x:c r="D17" s="43" t="str">
        <x:f>IF(COUNT('Αποτελέσματα Χρήσης'!D11,'Αποτελέσματα Χρήσης'!D12,'Αποτελέσματα Χρήσης'!D13,'Αποτελέσματα Χρήσης'!D14)&lt;4,"n.a.",IF(TRUE,'Αποτελέσματα Χρήσης'!D11+'Αποτελέσματα Χρήσης'!D12+'Αποτελέσματα Χρήσης'!D13+'Αποτελέσματα Χρήσης'!D14,"n.a."))</x:f>
        <x:v>n.a.</x:v>
      </x:c>
      <x:c r="E17" s="43" t="str">
        <x:f>IF(COUNT('Αποτελέσματα Χρήσης'!E11,'Αποτελέσματα Χρήσης'!E12,'Αποτελέσματα Χρήσης'!E13,'Αποτελέσματα Χρήσης'!E14)&lt;4,"n.a.",IF(TRUE,'Αποτελέσματα Χρήσης'!E11+'Αποτελέσματα Χρήσης'!E12+'Αποτελέσματα Χρήσης'!E13+'Αποτελέσματα Χρήσης'!E14,"n.a."))</x:f>
        <x:v>n.a.</x:v>
      </x:c>
      <x:c r="F17" s="43" t="str">
        <x:f>IF(COUNT('Αποτελέσματα Χρήσης'!F11,'Αποτελέσματα Χρήσης'!F12,'Αποτελέσματα Χρήσης'!F13,'Αποτελέσματα Χρήσης'!F14)&lt;4,"n.a.",IF(TRUE,'Αποτελέσματα Χρήσης'!F11+'Αποτελέσματα Χρήσης'!F12+'Αποτελέσματα Χρήσης'!F13+'Αποτελέσματα Χρήσης'!F14,"n.a."))</x:f>
        <x:v>n.a.</x:v>
      </x:c>
      <x:c r="G17" s="43" t="str">
        <x:f>IF(COUNT('Αποτελέσματα Χρήσης'!G11,'Αποτελέσματα Χρήσης'!G12,'Αποτελέσματα Χρήσης'!G13,'Αποτελέσματα Χρήσης'!G14)&lt;4,"n.a.",IF(TRUE,'Αποτελέσματα Χρήσης'!G11+'Αποτελέσματα Χρήσης'!G12+'Αποτελέσματα Χρήσης'!G13+'Αποτελέσματα Χρήσης'!G14,"n.a."))</x:f>
        <x:v>n.a.</x:v>
      </x:c>
      <x:c r="H17" s="43" t="str">
        <x:f>IF(COUNT('Αποτελέσματα Χρήσης'!H11,'Αποτελέσματα Χρήσης'!H12,'Αποτελέσματα Χρήσης'!H13,'Αποτελέσματα Χρήσης'!H14)&lt;4,"n.a.",IF(TRUE,'Αποτελέσματα Χρήσης'!H11+'Αποτελέσματα Χρήσης'!H12+'Αποτελέσματα Χρήσης'!H13+'Αποτελέσματα Χρήσης'!H14,"n.a."))</x:f>
        <x:v>n.a.</x:v>
      </x:c>
      <x:c r="I17" s="43" t="str">
        <x:f>IF(COUNT('Αποτελέσματα Χρήσης'!I11,'Αποτελέσματα Χρήσης'!I12,'Αποτελέσματα Χρήσης'!I13,'Αποτελέσματα Χρήσης'!I14)&lt;4,"n.a.",IF(TRUE,'Αποτελέσματα Χρήσης'!I11+'Αποτελέσματα Χρήσης'!I12+'Αποτελέσματα Χρήσης'!I13+'Αποτελέσματα Χρήσης'!I14,"n.a."))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Λειτουργικό κέρδος μετά φόρων (NOPAT)</x:v>
      </x:c>
      <x:c r="D18" s="39" t="str">
        <x:f>IF(COUNT('Αποτελέσματα Χρήσης'!D16,'Χρηματιστηριακά Δεδομένα'!D17)&lt;2,"n.a.",IF(AND('Χρηματιστηριακά Δεδομένα'!D17&gt;=0,'Χρηματιστηριακά Δεδομένα'!D17&lt;=1),'Αποτελέσματα Χρήσης'!D16*(1-'Χρηματιστηριακά Δεδομένα'!D17),"n.a."))</x:f>
        <x:v>n.a.</x:v>
      </x:c>
      <x:c r="E18" s="39" t="str">
        <x:f>IF(COUNT('Αποτελέσματα Χρήσης'!E16,'Χρηματιστηριακά Δεδομένα'!E17)&lt;2,"n.a.",IF(AND('Χρηματιστηριακά Δεδομένα'!E17&gt;=0,'Χρηματιστηριακά Δεδομένα'!E17&lt;=1),'Αποτελέσματα Χρήσης'!E16*(1-'Χρηματιστηριακά Δεδομένα'!E17),"n.a."))</x:f>
        <x:v>n.a.</x:v>
      </x:c>
      <x:c r="F18" s="39" t="str">
        <x:f>IF(COUNT('Αποτελέσματα Χρήσης'!F16,'Χρηματιστηριακά Δεδομένα'!F17)&lt;2,"n.a.",IF(AND('Χρηματιστηριακά Δεδομένα'!F17&gt;=0,'Χρηματιστηριακά Δεδομένα'!F17&lt;=1),'Αποτελέσματα Χρήσης'!F16*(1-'Χρηματιστηριακά Δεδομένα'!F17),"n.a."))</x:f>
        <x:v>n.a.</x:v>
      </x:c>
      <x:c r="G18" s="39" t="str">
        <x:f>IF(COUNT('Αποτελέσματα Χρήσης'!G16,'Χρηματιστηριακά Δεδομένα'!G17)&lt;2,"n.a.",IF(AND('Χρηματιστηριακά Δεδομένα'!G17&gt;=0,'Χρηματιστηριακά Δεδομένα'!G17&lt;=1),'Αποτελέσματα Χρήσης'!G16*(1-'Χρηματιστηριακά Δεδομένα'!G17),"n.a."))</x:f>
        <x:v>n.a.</x:v>
      </x:c>
      <x:c r="H18" s="39" t="str">
        <x:f>IF(COUNT('Αποτελέσματα Χρήσης'!H16,'Χρηματιστηριακά Δεδομένα'!H17)&lt;2,"n.a.",IF(AND('Χρηματιστηριακά Δεδομένα'!H17&gt;=0,'Χρηματιστηριακά Δεδομένα'!H17&lt;=1),'Αποτελέσματα Χρήσης'!H16*(1-'Χρηματιστηριακά Δεδομένα'!H17),"n.a."))</x:f>
        <x:v>n.a.</x:v>
      </x:c>
      <x:c r="I18" s="39" t="str">
        <x:f>IF(COUNT('Αποτελέσματα Χρήσης'!I16,'Χρηματιστηριακά Δεδομένα'!I17)&lt;2,"n.a.",IF(AND('Χρηματιστηριακά Δεδομένα'!I17&gt;=0,'Χρηματιστηριακά Δεδομένα'!I17&lt;=1),'Αποτελέσματα Χρήσης'!I16*(1-'Χρηματιστηριακά Δεδομένα'!I17),"n.a."))</x:f>
        <x:v>n.a.</x:v>
      </x:c>
      <x:c r="J18" s="2"/>
      <x:c r="K18" s="2" t="str">
        <x:v>Χρησιμοποιεί τον κανονικοποιημένο λειτουργικό φορολογικό συντελεστή.</x:v>
      </x:c>
      <x:c r="L18" s="2"/>
      <x:c r="M18" s="2"/>
    </x:row>
    <x:row r="19" ht="23" customHeight="1">
      <x:c r="A19" s="1"/>
      <x:c r="B19" s="1"/>
      <x:c r="C19" s="2" t="str">
        <x:v>Ελεύθερη ταμειακή ροή μετά συνολικό CAPEX</x:v>
      </x:c>
      <x:c r="D19" s="43" t="str">
        <x:f>IF(COUNT('Κατάσταση Ταμειακών Ροών'!D18,'Κατάσταση Ταμειακών Ροών'!D20)&lt;2,"n.a.",IF('Κατάσταση Ταμειακών Ροών'!D20&lt;=0,'Κατάσταση Ταμειακών Ροών'!D18+'Κατάσταση Ταμειακών Ροών'!D20,"n.a."))</x:f>
        <x:v>n.a.</x:v>
      </x:c>
      <x:c r="E19" s="43" t="str">
        <x:f>IF(COUNT('Κατάσταση Ταμειακών Ροών'!E18,'Κατάσταση Ταμειακών Ροών'!E20)&lt;2,"n.a.",IF('Κατάσταση Ταμειακών Ροών'!E20&lt;=0,'Κατάσταση Ταμειακών Ροών'!E18+'Κατάσταση Ταμειακών Ροών'!E20,"n.a."))</x:f>
        <x:v>n.a.</x:v>
      </x:c>
      <x:c r="F19" s="43" t="str">
        <x:f>IF(COUNT('Κατάσταση Ταμειακών Ροών'!F18,'Κατάσταση Ταμειακών Ροών'!F20)&lt;2,"n.a.",IF('Κατάσταση Ταμειακών Ροών'!F20&lt;=0,'Κατάσταση Ταμειακών Ροών'!F18+'Κατάσταση Ταμειακών Ροών'!F20,"n.a."))</x:f>
        <x:v>n.a.</x:v>
      </x:c>
      <x:c r="G19" s="43" t="str">
        <x:f>IF(COUNT('Κατάσταση Ταμειακών Ροών'!G18,'Κατάσταση Ταμειακών Ροών'!G20)&lt;2,"n.a.",IF('Κατάσταση Ταμειακών Ροών'!G20&lt;=0,'Κατάσταση Ταμειακών Ροών'!G18+'Κατάσταση Ταμειακών Ροών'!G20,"n.a."))</x:f>
        <x:v>n.a.</x:v>
      </x:c>
      <x:c r="H19" s="43" t="str">
        <x:f>IF(COUNT('Κατάσταση Ταμειακών Ροών'!H18,'Κατάσταση Ταμειακών Ροών'!H20)&lt;2,"n.a.",IF('Κατάσταση Ταμειακών Ροών'!H20&lt;=0,'Κατάσταση Ταμειακών Ροών'!H18+'Κατάσταση Ταμειακών Ροών'!H20,"n.a."))</x:f>
        <x:v>n.a.</x:v>
      </x:c>
      <x:c r="I19" s="43" t="str">
        <x:f>IF(COUNT('Κατάσταση Ταμειακών Ροών'!I18,'Κατάσταση Ταμειακών Ροών'!I20)&lt;2,"n.a.",IF('Κατάσταση Ταμειακών Ροών'!I20&lt;=0,'Κατάσταση Ταμειακών Ροών'!I18+'Κατάσταση Ταμειακών Ροών'!I20,"n.a."))</x:f>
        <x:v>n.a.</x:v>
      </x:c>
      <x:c r="J19" s="2"/>
      <x:c r="K19" s="2" t="str">
        <x:v>Λειτουργικές ροές συν CAPEX με αρνητικό πρόσημο.</x:v>
      </x:c>
      <x:c r="L19" s="2"/>
      <x:c r="M19" s="2"/>
    </x:row>
    <x:row r="20" ht="23" customHeight="1">
      <x:c r="A20" s="1"/>
      <x:c r="B20" s="1"/>
      <x:c r="C20" s="2" t="str">
        <x:v>Σύνολο πληρωθέντων τόκων, θετικό ποσό</x:v>
      </x:c>
      <x:c r="D20" s="39" t="str">
        <x:f>IF(COUNT('Κατάσταση Ταμειακών Ροών'!D15,'Κατάσταση Ταμειακών Ροών'!D35)&lt;2,"n.a.",IF(AND('Κατάσταση Ταμειακών Ροών'!D15&lt;=0,'Κατάσταση Ταμειακών Ροών'!D35&lt;=0),-'Κατάσταση Ταμειακών Ροών'!D15-'Κατάσταση Ταμειακών Ροών'!D35,"n.a."))</x:f>
        <x:v>n.a.</x:v>
      </x:c>
      <x:c r="E20" s="39" t="str">
        <x:f>IF(COUNT('Κατάσταση Ταμειακών Ροών'!E15,'Κατάσταση Ταμειακών Ροών'!E35)&lt;2,"n.a.",IF(AND('Κατάσταση Ταμειακών Ροών'!E15&lt;=0,'Κατάσταση Ταμειακών Ροών'!E35&lt;=0),-'Κατάσταση Ταμειακών Ροών'!E15-'Κατάσταση Ταμειακών Ροών'!E35,"n.a."))</x:f>
        <x:v>n.a.</x:v>
      </x:c>
      <x:c r="F20" s="39" t="str">
        <x:f>IF(COUNT('Κατάσταση Ταμειακών Ροών'!F15,'Κατάσταση Ταμειακών Ροών'!F35)&lt;2,"n.a.",IF(AND('Κατάσταση Ταμειακών Ροών'!F15&lt;=0,'Κατάσταση Ταμειακών Ροών'!F35&lt;=0),-'Κατάσταση Ταμειακών Ροών'!F15-'Κατάσταση Ταμειακών Ροών'!F35,"n.a."))</x:f>
        <x:v>n.a.</x:v>
      </x:c>
      <x:c r="G20" s="39" t="str">
        <x:f>IF(COUNT('Κατάσταση Ταμειακών Ροών'!G15,'Κατάσταση Ταμειακών Ροών'!G35)&lt;2,"n.a.",IF(AND('Κατάσταση Ταμειακών Ροών'!G15&lt;=0,'Κατάσταση Ταμειακών Ροών'!G35&lt;=0),-'Κατάσταση Ταμειακών Ροών'!G15-'Κατάσταση Ταμειακών Ροών'!G35,"n.a."))</x:f>
        <x:v>n.a.</x:v>
      </x:c>
      <x:c r="H20" s="39" t="str">
        <x:f>IF(COUNT('Κατάσταση Ταμειακών Ροών'!H15,'Κατάσταση Ταμειακών Ροών'!H35)&lt;2,"n.a.",IF(AND('Κατάσταση Ταμειακών Ροών'!H15&lt;=0,'Κατάσταση Ταμειακών Ροών'!H35&lt;=0),-'Κατάσταση Ταμειακών Ροών'!H15-'Κατάσταση Ταμειακών Ροών'!H35,"n.a."))</x:f>
        <x:v>n.a.</x:v>
      </x:c>
      <x:c r="I20" s="39" t="str">
        <x:f>IF(COUNT('Κατάσταση Ταμειακών Ροών'!I15,'Κατάσταση Ταμειακών Ροών'!I35)&lt;2,"n.a.",IF(AND('Κατάσταση Ταμειακών Ροών'!I15&lt;=0,'Κατάσταση Ταμειακών Ροών'!I35&lt;=0),-'Κατάσταση Ταμειακών Ροών'!I15-'Κατάσταση Ταμειακών Ροών'!I35,"n.a."))</x:f>
        <x:v>n.a.</x:v>
      </x:c>
      <x:c r="J20" s="2"/>
      <x:c r="K20" s="2" t="str">
        <x:v>Συμπληρώστε και τις δύο ταξινομήσεις, ακόμη και με μηδέν.</x:v>
      </x:c>
      <x:c r="L20" s="2"/>
      <x:c r="M20" s="2"/>
    </x:row>
    <x:row r="21" ht="25" customHeight="1">
      <x:c r="A21" s="1"/>
      <x:c r="B21" s="1"/>
      <x:c r="C21" s="34" t="str">
        <x:v>Μέσος όρος υπολοίπων αρχής και τέλους</x:v>
      </x:c>
      <x:c r="D21" s="34"/>
      <x:c r="E21" s="34"/>
      <x:c r="F21" s="34"/>
      <x:c r="G21" s="34"/>
      <x:c r="H21" s="34"/>
      <x:c r="I21" s="34"/>
      <x:c r="J21" s="2"/>
      <x:c r="K21" s="2"/>
      <x:c r="L21" s="2"/>
      <x:c r="M21" s="2"/>
    </x:row>
    <x:row r="22" ht="23" customHeight="1">
      <x:c r="A22" s="1"/>
      <x:c r="B22" s="1"/>
      <x:c r="C22" s="2" t="str">
        <x:v>Μέσο συνολικό ενεργητικό</x:v>
      </x:c>
      <x:c r="D22" s="39" t="str">
        <x:f>"n.a."</x:f>
        <x:v>n.a.</x:v>
      </x:c>
      <x:c r="E22" s="39" t="str">
        <x:f>IF(COUNT('Ισολογισμός'!D29,'Ισολογισμός'!E29)&lt;2,"n.a.",IF(TRUE,('Ισολογισμός'!D29+'Ισολογισμός'!E29)/2,"n.a."))</x:f>
        <x:v>n.a.</x:v>
      </x:c>
      <x:c r="F22" s="39" t="str">
        <x:f>IF(COUNT('Ισολογισμός'!E29,'Ισολογισμός'!F29)&lt;2,"n.a.",IF(TRUE,('Ισολογισμός'!E29+'Ισολογισμός'!F29)/2,"n.a."))</x:f>
        <x:v>n.a.</x:v>
      </x:c>
      <x:c r="G22" s="39" t="str">
        <x:f>IF(COUNT('Ισολογισμός'!F29,'Ισολογισμός'!G29)&lt;2,"n.a.",IF(TRUE,('Ισολογισμός'!F29+'Ισολογισμός'!G29)/2,"n.a."))</x:f>
        <x:v>n.a.</x:v>
      </x:c>
      <x:c r="H22" s="39" t="str">
        <x:f>IF(COUNT('Ισολογισμός'!G29,'Ισολογισμός'!H29)&lt;2,"n.a.",IF(TRUE,('Ισολογισμός'!G29+'Ισολογισμός'!H29)/2,"n.a."))</x:f>
        <x:v>n.a.</x:v>
      </x:c>
      <x:c r="I22" s="39" t="str">
        <x:f>IF(COUNT('Ισολογισμός'!H29,'Ισολογισμός'!I29)&lt;2,"n.a.",IF(TRUE,('Ισολογισμός'!H29+'Ισολογισμός'!I29)/2,"n.a."))</x:f>
        <x:v>n.a.</x:v>
      </x:c>
      <x:c r="J22" s="2"/>
      <x:c r="K22" s="2" t="str">
        <x:v>Απαιτεί το προηγούμενο υπόλοιπο χωρίς υποκατάσταση με το τελικό.</x:v>
      </x:c>
      <x:c r="L22" s="2"/>
      <x:c r="M22" s="2"/>
    </x:row>
    <x:row r="23" ht="23" customHeight="1">
      <x:c r="A23" s="1"/>
      <x:c r="B23" s="1"/>
      <x:c r="C23" s="2" t="str">
        <x:v>Μέσα συνολικά ίδια κεφάλαια</x:v>
      </x:c>
      <x:c r="D23" s="43" t="str">
        <x:f>"n.a."</x:f>
        <x:v>n.a.</x:v>
      </x:c>
      <x:c r="E23" s="43" t="str">
        <x:f>IF(COUNT('Ισολογισμός'!D52,'Ισολογισμός'!E52)&lt;2,"n.a.",IF(TRUE,('Ισολογισμός'!D52+'Ισολογισμός'!E52)/2,"n.a."))</x:f>
        <x:v>n.a.</x:v>
      </x:c>
      <x:c r="F23" s="43" t="str">
        <x:f>IF(COUNT('Ισολογισμός'!E52,'Ισολογισμός'!F52)&lt;2,"n.a.",IF(TRUE,('Ισολογισμός'!E52+'Ισολογισμός'!F52)/2,"n.a."))</x:f>
        <x:v>n.a.</x:v>
      </x:c>
      <x:c r="G23" s="43" t="str">
        <x:f>IF(COUNT('Ισολογισμός'!F52,'Ισολογισμός'!G52)&lt;2,"n.a.",IF(TRUE,('Ισολογισμός'!F52+'Ισολογισμός'!G52)/2,"n.a."))</x:f>
        <x:v>n.a.</x:v>
      </x:c>
      <x:c r="H23" s="43" t="str">
        <x:f>IF(COUNT('Ισολογισμός'!G52,'Ισολογισμός'!H52)&lt;2,"n.a.",IF(TRUE,('Ισολογισμός'!G52+'Ισολογισμός'!H52)/2,"n.a."))</x:f>
        <x:v>n.a.</x:v>
      </x:c>
      <x:c r="I23" s="43" t="str">
        <x:f>IF(COUNT('Ισολογισμός'!H52,'Ισολογισμός'!I52)&lt;2,"n.a.",IF(TRUE,('Ισολογισμός'!H52+'Ισολογισμός'!I52)/2,"n.a."))</x:f>
        <x:v>n.a.</x:v>
      </x:c>
      <x:c r="J23" s="2"/>
      <x:c r="K23" s="2" t="str">
        <x:v>Απαιτεί το προηγούμενο υπόλοιπο χωρίς υποκατάσταση με το τελικό.</x:v>
      </x:c>
      <x:c r="L23" s="2"/>
      <x:c r="M23" s="2"/>
    </x:row>
    <x:row r="24" ht="23" customHeight="1">
      <x:c r="A24" s="1"/>
      <x:c r="B24" s="1"/>
      <x:c r="C24" s="2" t="str">
        <x:v>Μέσα ίδια κεφάλαια κοινών μετόχων</x:v>
      </x:c>
      <x:c r="D24" s="39" t="str">
        <x:f>"n.a."</x:f>
        <x:v>n.a.</x:v>
      </x:c>
      <x:c r="E24" s="39" t="str">
        <x:f>IF(COUNT('Υπολογισμοί Κεφαλαίων'!D14,'Υπολογισμοί Κεφαλαίων'!E14)&lt;2,"n.a.",IF(TRUE,('Υπολογισμοί Κεφαλαίων'!D14+'Υπολογισμοί Κεφαλαίων'!E14)/2,"n.a."))</x:f>
        <x:v>n.a.</x:v>
      </x:c>
      <x:c r="F24" s="39" t="str">
        <x:f>IF(COUNT('Υπολογισμοί Κεφαλαίων'!E14,'Υπολογισμοί Κεφαλαίων'!F14)&lt;2,"n.a.",IF(TRUE,('Υπολογισμοί Κεφαλαίων'!E14+'Υπολογισμοί Κεφαλαίων'!F14)/2,"n.a."))</x:f>
        <x:v>n.a.</x:v>
      </x:c>
      <x:c r="G24" s="39" t="str">
        <x:f>IF(COUNT('Υπολογισμοί Κεφαλαίων'!F14,'Υπολογισμοί Κεφαλαίων'!G14)&lt;2,"n.a.",IF(TRUE,('Υπολογισμοί Κεφαλαίων'!F14+'Υπολογισμοί Κεφαλαίων'!G14)/2,"n.a."))</x:f>
        <x:v>n.a.</x:v>
      </x:c>
      <x:c r="H24" s="39" t="str">
        <x:f>IF(COUNT('Υπολογισμοί Κεφαλαίων'!G14,'Υπολογισμοί Κεφαλαίων'!H14)&lt;2,"n.a.",IF(TRUE,('Υπολογισμοί Κεφαλαίων'!G14+'Υπολογισμοί Κεφαλαίων'!H14)/2,"n.a."))</x:f>
        <x:v>n.a.</x:v>
      </x:c>
      <x:c r="I24" s="39" t="str">
        <x:f>IF(COUNT('Υπολογισμοί Κεφαλαίων'!H14,'Υπολογισμοί Κεφαλαίων'!I14)&lt;2,"n.a.",IF(TRUE,('Υπολογισμοί Κεφαλαίων'!H14+'Υπολογισμοί Κεφαλαίων'!I14)/2,"n.a."))</x:f>
        <x:v>n.a.</x:v>
      </x:c>
      <x:c r="J24" s="2"/>
      <x:c r="K24" s="2" t="str">
        <x:v>Απαιτεί το προηγούμενο υπόλοιπο χωρίς υποκατάσταση με το τελικό.</x:v>
      </x:c>
      <x:c r="L24" s="2"/>
      <x:c r="M24" s="2"/>
    </x:row>
    <x:row r="25" ht="23" customHeight="1">
      <x:c r="A25" s="1"/>
      <x:c r="B25" s="1"/>
      <x:c r="C25" s="2" t="str">
        <x:v>Μέσα αποθέματα</x:v>
      </x:c>
      <x:c r="D25" s="43" t="str">
        <x:f>"n.a."</x:f>
        <x:v>n.a.</x:v>
      </x:c>
      <x:c r="E25" s="43" t="str">
        <x:f>IF(COUNT('Ισολογισμός'!D11,'Ισολογισμός'!E11)&lt;2,"n.a.",IF(TRUE,('Ισολογισμός'!D11+'Ισολογισμός'!E11)/2,"n.a."))</x:f>
        <x:v>n.a.</x:v>
      </x:c>
      <x:c r="F25" s="43" t="str">
        <x:f>IF(COUNT('Ισολογισμός'!E11,'Ισολογισμός'!F11)&lt;2,"n.a.",IF(TRUE,('Ισολογισμός'!E11+'Ισολογισμός'!F11)/2,"n.a."))</x:f>
        <x:v>n.a.</x:v>
      </x:c>
      <x:c r="G25" s="43" t="str">
        <x:f>IF(COUNT('Ισολογισμός'!F11,'Ισολογισμός'!G11)&lt;2,"n.a.",IF(TRUE,('Ισολογισμός'!F11+'Ισολογισμός'!G11)/2,"n.a."))</x:f>
        <x:v>n.a.</x:v>
      </x:c>
      <x:c r="H25" s="43" t="str">
        <x:f>IF(COUNT('Ισολογισμός'!G11,'Ισολογισμός'!H11)&lt;2,"n.a.",IF(TRUE,('Ισολογισμός'!G11+'Ισολογισμός'!H11)/2,"n.a."))</x:f>
        <x:v>n.a.</x:v>
      </x:c>
      <x:c r="I25" s="43" t="str">
        <x:f>IF(COUNT('Ισολογισμός'!H11,'Ισολογισμός'!I11)&lt;2,"n.a.",IF(TRUE,('Ισολογισμός'!H11+'Ισολογισμός'!I11)/2,"n.a."))</x:f>
        <x:v>n.a.</x:v>
      </x:c>
      <x:c r="J25" s="2"/>
      <x:c r="K25" s="2" t="str">
        <x:v>Απαιτεί το προηγούμενο υπόλοιπο χωρίς υποκατάσταση με το τελικό.</x:v>
      </x:c>
      <x:c r="L25" s="2"/>
      <x:c r="M25" s="2"/>
    </x:row>
    <x:row r="26" ht="23" customHeight="1">
      <x:c r="A26" s="1"/>
      <x:c r="B26" s="1"/>
      <x:c r="C26" s="2" t="str">
        <x:v>Μέσες εμπορικές απαιτήσεις</x:v>
      </x:c>
      <x:c r="D26" s="39" t="str">
        <x:f>"n.a."</x:f>
        <x:v>n.a.</x:v>
      </x:c>
      <x:c r="E26" s="39" t="str">
        <x:f>IF(COUNT('Ισολογισμός'!D10,'Ισολογισμός'!E10)&lt;2,"n.a.",IF(TRUE,('Ισολογισμός'!D10+'Ισολογισμός'!E10)/2,"n.a."))</x:f>
        <x:v>n.a.</x:v>
      </x:c>
      <x:c r="F26" s="39" t="str">
        <x:f>IF(COUNT('Ισολογισμός'!E10,'Ισολογισμός'!F10)&lt;2,"n.a.",IF(TRUE,('Ισολογισμός'!E10+'Ισολογισμός'!F10)/2,"n.a."))</x:f>
        <x:v>n.a.</x:v>
      </x:c>
      <x:c r="G26" s="39" t="str">
        <x:f>IF(COUNT('Ισολογισμός'!F10,'Ισολογισμός'!G10)&lt;2,"n.a.",IF(TRUE,('Ισολογισμός'!F10+'Ισολογισμός'!G10)/2,"n.a."))</x:f>
        <x:v>n.a.</x:v>
      </x:c>
      <x:c r="H26" s="39" t="str">
        <x:f>IF(COUNT('Ισολογισμός'!G10,'Ισολογισμός'!H10)&lt;2,"n.a.",IF(TRUE,('Ισολογισμός'!G10+'Ισολογισμός'!H10)/2,"n.a."))</x:f>
        <x:v>n.a.</x:v>
      </x:c>
      <x:c r="I26" s="39" t="str">
        <x:f>IF(COUNT('Ισολογισμός'!H10,'Ισολογισμός'!I10)&lt;2,"n.a.",IF(TRUE,('Ισολογισμός'!H10+'Ισολογισμός'!I10)/2,"n.a."))</x:f>
        <x:v>n.a.</x:v>
      </x:c>
      <x:c r="J26" s="2"/>
      <x:c r="K26" s="2" t="str">
        <x:v>Απαιτεί το προηγούμενο υπόλοιπο χωρίς υποκατάσταση με το τελικό.</x:v>
      </x:c>
      <x:c r="L26" s="2"/>
      <x:c r="M26" s="2"/>
    </x:row>
    <x:row r="27" ht="23" customHeight="1">
      <x:c r="A27" s="1"/>
      <x:c r="B27" s="1"/>
      <x:c r="C27" s="2" t="str">
        <x:v>Μέσες εμπορικές υποχρεώσεις</x:v>
      </x:c>
      <x:c r="D27" s="43" t="str">
        <x:f>"n.a."</x:f>
        <x:v>n.a.</x:v>
      </x:c>
      <x:c r="E27" s="43" t="str">
        <x:f>IF(COUNT('Ισολογισμός'!D31,'Ισολογισμός'!E31)&lt;2,"n.a.",IF(TRUE,('Ισολογισμός'!D31+'Ισολογισμός'!E31)/2,"n.a."))</x:f>
        <x:v>n.a.</x:v>
      </x:c>
      <x:c r="F27" s="43" t="str">
        <x:f>IF(COUNT('Ισολογισμός'!E31,'Ισολογισμός'!F31)&lt;2,"n.a.",IF(TRUE,('Ισολογισμός'!E31+'Ισολογισμός'!F31)/2,"n.a."))</x:f>
        <x:v>n.a.</x:v>
      </x:c>
      <x:c r="G27" s="43" t="str">
        <x:f>IF(COUNT('Ισολογισμός'!F31,'Ισολογισμός'!G31)&lt;2,"n.a.",IF(TRUE,('Ισολογισμός'!F31+'Ισολογισμός'!G31)/2,"n.a."))</x:f>
        <x:v>n.a.</x:v>
      </x:c>
      <x:c r="H27" s="43" t="str">
        <x:f>IF(COUNT('Ισολογισμός'!G31,'Ισολογισμός'!H31)&lt;2,"n.a.",IF(TRUE,('Ισολογισμός'!G31+'Ισολογισμός'!H31)/2,"n.a."))</x:f>
        <x:v>n.a.</x:v>
      </x:c>
      <x:c r="I27" s="43" t="str">
        <x:f>IF(COUNT('Ισολογισμός'!H31,'Ισολογισμός'!I31)&lt;2,"n.a.",IF(TRUE,('Ισολογισμός'!H31+'Ισολογισμός'!I31)/2,"n.a."))</x:f>
        <x:v>n.a.</x:v>
      </x:c>
      <x:c r="J27" s="2"/>
      <x:c r="K27" s="2" t="str">
        <x:v>Απαιτεί το προηγούμενο υπόλοιπο χωρίς υποκατάσταση με το τελικό.</x:v>
      </x:c>
      <x:c r="L27" s="2"/>
      <x:c r="M27" s="2"/>
    </x:row>
    <x:row r="28" ht="23" customHeight="1">
      <x:c r="A28" s="1"/>
      <x:c r="B28" s="1"/>
      <x:c r="C28" s="2" t="str">
        <x:v>Μέσα καθαρά ενσώματα πάγια</x:v>
      </x:c>
      <x:c r="D28" s="39" t="str">
        <x:f>"n.a."</x:f>
        <x:v>n.a.</x:v>
      </x:c>
      <x:c r="E28" s="39" t="str">
        <x:f>IF(COUNT('Ισολογισμός'!D19,'Ισολογισμός'!E19)&lt;2,"n.a.",IF(TRUE,('Ισολογισμός'!D19+'Ισολογισμός'!E19)/2,"n.a."))</x:f>
        <x:v>n.a.</x:v>
      </x:c>
      <x:c r="F28" s="39" t="str">
        <x:f>IF(COUNT('Ισολογισμός'!E19,'Ισολογισμός'!F19)&lt;2,"n.a.",IF(TRUE,('Ισολογισμός'!E19+'Ισολογισμός'!F19)/2,"n.a."))</x:f>
        <x:v>n.a.</x:v>
      </x:c>
      <x:c r="G28" s="39" t="str">
        <x:f>IF(COUNT('Ισολογισμός'!F19,'Ισολογισμός'!G19)&lt;2,"n.a.",IF(TRUE,('Ισολογισμός'!F19+'Ισολογισμός'!G19)/2,"n.a."))</x:f>
        <x:v>n.a.</x:v>
      </x:c>
      <x:c r="H28" s="39" t="str">
        <x:f>IF(COUNT('Ισολογισμός'!G19,'Ισολογισμός'!H19)&lt;2,"n.a.",IF(TRUE,('Ισολογισμός'!G19+'Ισολογισμός'!H19)/2,"n.a."))</x:f>
        <x:v>n.a.</x:v>
      </x:c>
      <x:c r="I28" s="39" t="str">
        <x:f>IF(COUNT('Ισολογισμός'!H19,'Ισολογισμός'!I19)&lt;2,"n.a.",IF(TRUE,('Ισολογισμός'!H19+'Ισολογισμός'!I19)/2,"n.a."))</x:f>
        <x:v>n.a.</x:v>
      </x:c>
      <x:c r="J28" s="2"/>
      <x:c r="K28" s="2" t="str">
        <x:v>Απαιτεί το προηγούμενο υπόλοιπο χωρίς υποκατάσταση με το τελικό.</x:v>
      </x:c>
      <x:c r="L28" s="2"/>
      <x:c r="M28" s="2"/>
    </x:row>
    <x:row r="29" ht="23" customHeight="1">
      <x:c r="A29" s="1"/>
      <x:c r="B29" s="1"/>
      <x:c r="C29" s="2" t="str">
        <x:v>Μέσο κεφάλαιο κίνησης</x:v>
      </x:c>
      <x:c r="D29" s="43" t="str">
        <x:f>"n.a."</x:f>
        <x:v>n.a.</x:v>
      </x:c>
      <x:c r="E29" s="43" t="str">
        <x:f>IF(COUNT('Υπολογισμοί Κεφαλαίων'!D10,'Υπολογισμοί Κεφαλαίων'!E10)&lt;2,"n.a.",IF(TRUE,('Υπολογισμοί Κεφαλαίων'!D10+'Υπολογισμοί Κεφαλαίων'!E10)/2,"n.a."))</x:f>
        <x:v>n.a.</x:v>
      </x:c>
      <x:c r="F29" s="43" t="str">
        <x:f>IF(COUNT('Υπολογισμοί Κεφαλαίων'!E10,'Υπολογισμοί Κεφαλαίων'!F10)&lt;2,"n.a.",IF(TRUE,('Υπολογισμοί Κεφαλαίων'!E10+'Υπολογισμοί Κεφαλαίων'!F10)/2,"n.a."))</x:f>
        <x:v>n.a.</x:v>
      </x:c>
      <x:c r="G29" s="43" t="str">
        <x:f>IF(COUNT('Υπολογισμοί Κεφαλαίων'!F10,'Υπολογισμοί Κεφαλαίων'!G10)&lt;2,"n.a.",IF(TRUE,('Υπολογισμοί Κεφαλαίων'!F10+'Υπολογισμοί Κεφαλαίων'!G10)/2,"n.a."))</x:f>
        <x:v>n.a.</x:v>
      </x:c>
      <x:c r="H29" s="43" t="str">
        <x:f>IF(COUNT('Υπολογισμοί Κεφαλαίων'!G10,'Υπολογισμοί Κεφαλαίων'!H10)&lt;2,"n.a.",IF(TRUE,('Υπολογισμοί Κεφαλαίων'!G10+'Υπολογισμοί Κεφαλαίων'!H10)/2,"n.a."))</x:f>
        <x:v>n.a.</x:v>
      </x:c>
      <x:c r="I29" s="43" t="str">
        <x:f>IF(COUNT('Υπολογισμοί Κεφαλαίων'!H10,'Υπολογισμοί Κεφαλαίων'!I10)&lt;2,"n.a.",IF(TRUE,('Υπολογισμοί Κεφαλαίων'!H10+'Υπολογισμοί Κεφαλαίων'!I10)/2,"n.a."))</x:f>
        <x:v>n.a.</x:v>
      </x:c>
      <x:c r="J29" s="2"/>
      <x:c r="K29" s="2" t="str">
        <x:v>Απαιτεί το προηγούμενο υπόλοιπο χωρίς υποκατάσταση με το τελικό.</x:v>
      </x:c>
      <x:c r="L29" s="2"/>
      <x:c r="M29" s="2"/>
    </x:row>
    <x:row r="30" ht="23" customHeight="1">
      <x:c r="A30" s="1"/>
      <x:c r="B30" s="1"/>
      <x:c r="C30" s="2" t="str">
        <x:v>Μέσα επενδεδυμένα κεφάλαια</x:v>
      </x:c>
      <x:c r="D30" s="39" t="str">
        <x:f>"n.a."</x:f>
        <x:v>n.a.</x:v>
      </x:c>
      <x:c r="E30" s="39" t="str">
        <x:f>IF(COUNT('Υπολογισμοί Κεφαλαίων'!D12,'Υπολογισμοί Κεφαλαίων'!E12)&lt;2,"n.a.",IF(TRUE,('Υπολογισμοί Κεφαλαίων'!D12+'Υπολογισμοί Κεφαλαίων'!E12)/2,"n.a."))</x:f>
        <x:v>n.a.</x:v>
      </x:c>
      <x:c r="F30" s="39" t="str">
        <x:f>IF(COUNT('Υπολογισμοί Κεφαλαίων'!E12,'Υπολογισμοί Κεφαλαίων'!F12)&lt;2,"n.a.",IF(TRUE,('Υπολογισμοί Κεφαλαίων'!E12+'Υπολογισμοί Κεφαλαίων'!F12)/2,"n.a."))</x:f>
        <x:v>n.a.</x:v>
      </x:c>
      <x:c r="G30" s="39" t="str">
        <x:f>IF(COUNT('Υπολογισμοί Κεφαλαίων'!F12,'Υπολογισμοί Κεφαλαίων'!G12)&lt;2,"n.a.",IF(TRUE,('Υπολογισμοί Κεφαλαίων'!F12+'Υπολογισμοί Κεφαλαίων'!G12)/2,"n.a."))</x:f>
        <x:v>n.a.</x:v>
      </x:c>
      <x:c r="H30" s="39" t="str">
        <x:f>IF(COUNT('Υπολογισμοί Κεφαλαίων'!G12,'Υπολογισμοί Κεφαλαίων'!H12)&lt;2,"n.a.",IF(TRUE,('Υπολογισμοί Κεφαλαίων'!G12+'Υπολογισμοί Κεφαλαίων'!H12)/2,"n.a."))</x:f>
        <x:v>n.a.</x:v>
      </x:c>
      <x:c r="I30" s="39" t="str">
        <x:f>IF(COUNT('Υπολογισμοί Κεφαλαίων'!H12,'Υπολογισμοί Κεφαλαίων'!I12)&lt;2,"n.a.",IF(TRUE,('Υπολογισμοί Κεφαλαίων'!H12+'Υπολογισμοί Κεφαλαίων'!I12)/2,"n.a."))</x:f>
        <x:v>n.a.</x:v>
      </x:c>
      <x:c r="J30" s="2"/>
      <x:c r="K30" s="2" t="str">
        <x:v>Απαιτεί το προηγούμενο υπόλοιπο χωρίς υποκατάσταση με το τελικό.</x:v>
      </x:c>
      <x:c r="L30" s="2"/>
      <x:c r="M30" s="2"/>
    </x:row>
    <x:row r="31" ht="23" customHeight="1">
      <x:c r="A31" s="1"/>
      <x:c r="B31" s="1"/>
      <x:c r="C31" s="2" t="str">
        <x:v>Μέσα απασχολούμενα κεφάλαια</x:v>
      </x:c>
      <x:c r="D31" s="43" t="str">
        <x:f>"n.a."</x:f>
        <x:v>n.a.</x:v>
      </x:c>
      <x:c r="E31" s="43" t="str">
        <x:f>IF(COUNT('Υπολογισμοί Κεφαλαίων'!D13,'Υπολογισμοί Κεφαλαίων'!E13)&lt;2,"n.a.",IF(TRUE,('Υπολογισμοί Κεφαλαίων'!D13+'Υπολογισμοί Κεφαλαίων'!E13)/2,"n.a."))</x:f>
        <x:v>n.a.</x:v>
      </x:c>
      <x:c r="F31" s="43" t="str">
        <x:f>IF(COUNT('Υπολογισμοί Κεφαλαίων'!E13,'Υπολογισμοί Κεφαλαίων'!F13)&lt;2,"n.a.",IF(TRUE,('Υπολογισμοί Κεφαλαίων'!E13+'Υπολογισμοί Κεφαλαίων'!F13)/2,"n.a."))</x:f>
        <x:v>n.a.</x:v>
      </x:c>
      <x:c r="G31" s="43" t="str">
        <x:f>IF(COUNT('Υπολογισμοί Κεφαλαίων'!F13,'Υπολογισμοί Κεφαλαίων'!G13)&lt;2,"n.a.",IF(TRUE,('Υπολογισμοί Κεφαλαίων'!F13+'Υπολογισμοί Κεφαλαίων'!G13)/2,"n.a."))</x:f>
        <x:v>n.a.</x:v>
      </x:c>
      <x:c r="H31" s="43" t="str">
        <x:f>IF(COUNT('Υπολογισμοί Κεφαλαίων'!G13,'Υπολογισμοί Κεφαλαίων'!H13)&lt;2,"n.a.",IF(TRUE,('Υπολογισμοί Κεφαλαίων'!G13+'Υπολογισμοί Κεφαλαίων'!H13)/2,"n.a."))</x:f>
        <x:v>n.a.</x:v>
      </x:c>
      <x:c r="I31" s="43" t="str">
        <x:f>IF(COUNT('Υπολογισμοί Κεφαλαίων'!H13,'Υπολογισμοί Κεφαλαίων'!I13)&lt;2,"n.a.",IF(TRUE,('Υπολογισμοί Κεφαλαίων'!H13+'Υπολογισμοί Κεφαλαίων'!I13)/2,"n.a."))</x:f>
        <x:v>n.a.</x:v>
      </x:c>
      <x:c r="J31" s="2"/>
      <x:c r="K31" s="2" t="str">
        <x:v>Απαιτεί το προηγούμενο υπόλοιπο χωρίς υποκατάσταση με το τελικό.</x:v>
      </x:c>
      <x:c r="L31" s="2"/>
      <x:c r="M31" s="2"/>
    </x:row>
    <x:row r="32" ht="23" customHeight="1">
      <x:c r="A32" s="1"/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A33" s="1"/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Σύγκριση Εταιρειών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Συμπληρώστε συγκρίσιμες εταιρείες για την ίδια χρήση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/>
      <x:c r="E5" s="80" t="str">
        <x:v>Εταιρεία 1</x:v>
      </x:c>
      <x:c r="F5" s="80" t="str">
        <x:v>Εταιρεία 2</x:v>
      </x:c>
      <x:c r="G5" s="80" t="str">
        <x:v>Εταιρεία 3</x:v>
      </x:c>
      <x:c r="H5" s="80" t="str">
        <x:v>Εταιρεία 4</x:v>
      </x:c>
      <x:c r="I5" s="80" t="str">
        <x:v>Εταιρεία 5</x:v>
      </x:c>
      <x:c r="J5" s="2"/>
      <x:c r="K5" s="2" t="str">
        <x:v>Όλες οι εταιρείες στην κλίμακα και στο νόμισμα Ρυθμίσεων. Καταγράψτε ημερομηνίες παρακάτω.</x:v>
      </x:c>
      <x:c r="L5" s="2"/>
      <x:c r="M5" s="2"/>
    </x:row>
    <x:row r="6" ht="23" customHeight="1">
      <x:c r="A6" s="1"/>
      <x:c r="B6" s="1"/>
      <x:c r="C6" s="2" t="str">
        <x:v>Χρήση / ημερομηνία αποτίμησης στις σημειώσεις</x:v>
      </x:c>
      <x:c r="D6" s="13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Πωλήσεις</x:v>
      </x:c>
      <x:c r="D7" s="48"/>
      <x:c r="E7" s="48"/>
      <x:c r="F7" s="48"/>
      <x:c r="G7" s="48"/>
      <x:c r="H7" s="48"/>
      <x:c r="I7" s="48"/>
      <x:c r="J7" s="2"/>
      <x:c r="K7" s="2"/>
      <x:c r="L7" s="2"/>
      <x:c r="M7" s="2"/>
    </x:row>
    <x:row r="8" ht="23" customHeight="1">
      <x:c r="A8" s="1"/>
      <x:c r="B8" s="1"/>
      <x:c r="C8" s="2" t="str">
        <x:v>Καθαρά κέρδη κοινών μετόχων</x:v>
      </x:c>
      <x:c r="D8" s="48"/>
      <x:c r="E8" s="48"/>
      <x:c r="F8" s="48"/>
      <x:c r="G8" s="48"/>
      <x:c r="H8" s="48"/>
      <x:c r="I8" s="48"/>
      <x:c r="J8" s="2"/>
      <x:c r="K8" s="2"/>
      <x:c r="L8" s="2"/>
      <x:c r="M8" s="2"/>
    </x:row>
    <x:row r="9" ht="23" customHeight="1">
      <x:c r="A9" s="1"/>
      <x:c r="B9" s="1"/>
      <x:c r="C9" s="2" t="str">
        <x:v>EBITDA</x:v>
      </x:c>
      <x:c r="D9" s="48"/>
      <x:c r="E9" s="48"/>
      <x:c r="F9" s="48"/>
      <x:c r="G9" s="48"/>
      <x:c r="H9" s="48"/>
      <x:c r="I9" s="48"/>
      <x:c r="J9" s="2"/>
      <x:c r="K9" s="2"/>
      <x:c r="L9" s="2"/>
      <x:c r="M9" s="2"/>
    </x:row>
    <x:row r="10" ht="23" customHeight="1">
      <x:c r="A10" s="1"/>
      <x:c r="B10" s="1"/>
      <x:c r="C10" s="2" t="str">
        <x:v>Λογιστικά ίδια κεφάλαια κοινών μετόχων</x:v>
      </x:c>
      <x:c r="D10" s="48"/>
      <x:c r="E10" s="48"/>
      <x:c r="F10" s="48"/>
      <x:c r="G10" s="48"/>
      <x:c r="H10" s="48"/>
      <x:c r="I10" s="48"/>
      <x:c r="J10" s="2"/>
      <x:c r="K10" s="2"/>
      <x:c r="L10" s="2"/>
      <x:c r="M10" s="2"/>
    </x:row>
    <x:row r="11" ht="23" customHeight="1">
      <x:c r="A11" s="1"/>
      <x:c r="B11" s="1"/>
      <x:c r="C11" s="2" t="str">
        <x:v>Καθαρό χρέος</x:v>
      </x:c>
      <x:c r="D11" s="48"/>
      <x:c r="E11" s="48"/>
      <x:c r="F11" s="48"/>
      <x:c r="G11" s="48"/>
      <x:c r="H11" s="48"/>
      <x:c r="I11" s="48"/>
      <x:c r="J11" s="2"/>
      <x:c r="K11" s="2"/>
      <x:c r="L11" s="2"/>
      <x:c r="M11" s="2"/>
    </x:row>
    <x:row r="12" ht="23" customHeight="1">
      <x:c r="A12" s="1"/>
      <x:c r="B12" s="1"/>
      <x:c r="C12" s="2" t="str">
        <x:v>Αξία προνομιούχων + μειοψηφίας</x:v>
      </x:c>
      <x:c r="D12" s="48"/>
      <x:c r="E12" s="48"/>
      <x:c r="F12" s="48"/>
      <x:c r="G12" s="48"/>
      <x:c r="H12" s="48"/>
      <x:c r="I12" s="48"/>
      <x:c r="J12" s="2"/>
      <x:c r="K12" s="2"/>
      <x:c r="L12" s="2"/>
      <x:c r="M12" s="2"/>
    </x:row>
    <x:row r="13" ht="23" customHeight="1">
      <x:c r="A13" s="1"/>
      <x:c r="B13" s="1"/>
      <x:c r="C13" s="2" t="str">
        <x:v>Μετοχές τέλους</x:v>
      </x:c>
      <x:c r="D13" s="48"/>
      <x:c r="E13" s="48"/>
      <x:c r="F13" s="48"/>
      <x:c r="G13" s="48"/>
      <x:c r="H13" s="48"/>
      <x:c r="I13" s="48"/>
      <x:c r="J13" s="2"/>
      <x:c r="K13" s="2"/>
      <x:c r="L13" s="2"/>
      <x:c r="M13" s="2"/>
    </x:row>
    <x:row r="14" ht="23" customHeight="1">
      <x:c r="A14" s="1"/>
      <x:c r="B14" s="1"/>
      <x:c r="C14" s="2" t="str">
        <x:v>Τιμή μετοχής</x:v>
      </x:c>
      <x:c r="D14" s="50"/>
      <x:c r="E14" s="50"/>
      <x:c r="F14" s="50"/>
      <x:c r="G14" s="50"/>
      <x:c r="H14" s="50"/>
      <x:c r="I14" s="50"/>
      <x:c r="J14" s="2"/>
      <x:c r="K14" s="2"/>
      <x:c r="L14" s="2"/>
      <x:c r="M14" s="2"/>
    </x:row>
    <x:row r="15" ht="23" customHeight="1">
      <x:c r="A15" s="1"/>
      <x:c r="B15" s="1"/>
      <x:c r="C15" s="2" t="str">
        <x:v>Κυκλοφορούν ενεργητικό</x:v>
      </x:c>
      <x:c r="D15" s="48"/>
      <x:c r="E15" s="48"/>
      <x:c r="F15" s="48"/>
      <x:c r="G15" s="48"/>
      <x:c r="H15" s="48"/>
      <x:c r="I15" s="48"/>
      <x:c r="J15" s="2"/>
      <x:c r="K15" s="2"/>
      <x:c r="L15" s="2"/>
      <x:c r="M15" s="2"/>
    </x:row>
    <x:row r="16" ht="23" customHeight="1">
      <x:c r="A16" s="1"/>
      <x:c r="B16" s="1"/>
      <x:c r="C16" s="2" t="str">
        <x:v>Βραχυπρόθεσμες υποχρεώσεις</x:v>
      </x:c>
      <x:c r="D16" s="48"/>
      <x:c r="E16" s="48"/>
      <x:c r="F16" s="48"/>
      <x:c r="G16" s="48"/>
      <x:c r="H16" s="48"/>
      <x:c r="I16" s="48"/>
      <x:c r="J16" s="2"/>
      <x:c r="K16" s="2"/>
      <x:c r="L16" s="2"/>
      <x:c r="M16" s="2"/>
    </x:row>
    <x:row r="17" ht="23" customHeight="1">
      <x:c r="A17" s="1"/>
      <x:c r="B17" s="1"/>
      <x:c r="C17" s="2" t="str">
        <x:v>Μέρισμα ανά μετοχή</x:v>
      </x:c>
      <x:c r="D17" s="50"/>
      <x:c r="E17" s="50"/>
      <x:c r="F17" s="50"/>
      <x:c r="G17" s="50"/>
      <x:c r="H17" s="50"/>
      <x:c r="I17" s="50"/>
      <x:c r="J17" s="2"/>
      <x:c r="K17" s="2"/>
      <x:c r="L17" s="2"/>
      <x:c r="M17" s="2"/>
    </x:row>
    <x:row r="18" ht="23" customHeight="1">
      <x:c r="A18" s="1"/>
      <x:c r="B18" s="1"/>
      <x:c r="C18" s="2" t="str">
        <x:v>Μέσα δημοσιευμένα κέρδη ανά μετοχή τριετίας</x:v>
      </x:c>
      <x:c r="D18" s="50"/>
      <x:c r="E18" s="50"/>
      <x:c r="F18" s="50"/>
      <x:c r="G18" s="50"/>
      <x:c r="H18" s="50"/>
      <x:c r="I18" s="50"/>
      <x:c r="J18" s="2"/>
      <x:c r="K18" s="2"/>
      <x:c r="L18" s="2"/>
      <x:c r="M18" s="2"/>
    </x:row>
    <x:row r="19" ht="23" customHeight="1">
      <x:c r="A19" s="1"/>
      <x:c r="B19" s="1"/>
      <x:c r="C19" s="2" t="str">
        <x:v>Χρηματιστηριακή αξία</x:v>
      </x:c>
      <x:c r="D19" s="15"/>
      <x:c r="E19" s="43" t="str">
        <x:f>IF(COUNT('Σύγκριση Εταιρειών'!E14,'Σύγκριση Εταιρειών'!E13,'Ρυθμίσεις'!$E$11,'Ρυθμίσεις'!$E$10)&lt;4,"n.a.",IF(AND('Ρυθμίσεις'!$E$10&gt;0,'Σύγκριση Εταιρειών'!E13&gt;0,'Σύγκριση Εταιρειών'!E14&gt;0),'Σύγκριση Εταιρειών'!E14*'Σύγκριση Εταιρειών'!E13*'Ρυθμίσεις'!$E$11/'Ρυθμίσεις'!$E$10,"n.a."))</x:f>
        <x:v>n.a.</x:v>
      </x:c>
      <x:c r="F19" s="43" t="str">
        <x:f>IF(COUNT('Σύγκριση Εταιρειών'!F14,'Σύγκριση Εταιρειών'!F13,'Ρυθμίσεις'!$E$11,'Ρυθμίσεις'!$E$10)&lt;4,"n.a.",IF(AND('Ρυθμίσεις'!$E$10&gt;0,'Σύγκριση Εταιρειών'!F13&gt;0,'Σύγκριση Εταιρειών'!F14&gt;0),'Σύγκριση Εταιρειών'!F14*'Σύγκριση Εταιρειών'!F13*'Ρυθμίσεις'!$E$11/'Ρυθμίσεις'!$E$10,"n.a."))</x:f>
        <x:v>n.a.</x:v>
      </x:c>
      <x:c r="G19" s="43" t="str">
        <x:f>IF(COUNT('Σύγκριση Εταιρειών'!G14,'Σύγκριση Εταιρειών'!G13,'Ρυθμίσεις'!$E$11,'Ρυθμίσεις'!$E$10)&lt;4,"n.a.",IF(AND('Ρυθμίσεις'!$E$10&gt;0,'Σύγκριση Εταιρειών'!G13&gt;0,'Σύγκριση Εταιρειών'!G14&gt;0),'Σύγκριση Εταιρειών'!G14*'Σύγκριση Εταιρειών'!G13*'Ρυθμίσεις'!$E$11/'Ρυθμίσεις'!$E$10,"n.a."))</x:f>
        <x:v>n.a.</x:v>
      </x:c>
      <x:c r="H19" s="43" t="str">
        <x:f>IF(COUNT('Σύγκριση Εταιρειών'!H14,'Σύγκριση Εταιρειών'!H13,'Ρυθμίσεις'!$E$11,'Ρυθμίσεις'!$E$10)&lt;4,"n.a.",IF(AND('Ρυθμίσεις'!$E$10&gt;0,'Σύγκριση Εταιρειών'!H13&gt;0,'Σύγκριση Εταιρειών'!H14&gt;0),'Σύγκριση Εταιρειών'!H14*'Σύγκριση Εταιρειών'!H13*'Ρυθμίσεις'!$E$11/'Ρυθμίσεις'!$E$10,"n.a."))</x:f>
        <x:v>n.a.</x:v>
      </x:c>
      <x:c r="I19" s="43" t="str">
        <x:f>IF(COUNT('Σύγκριση Εταιρειών'!I14,'Σύγκριση Εταιρειών'!I13,'Ρυθμίσεις'!$E$11,'Ρυθμίσεις'!$E$10)&lt;4,"n.a.",IF(AND('Ρυθμίσεις'!$E$10&gt;0,'Σύγκριση Εταιρειών'!I13&gt;0,'Σύγκριση Εταιρειών'!I14&gt;0),'Σύγκριση Εταιρειών'!I14*'Σύγκριση Εταιρειών'!I13*'Ρυθμίσεις'!$E$11/'Ρυθμίσεις'!$E$10,"n.a."))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" t="str">
        <x:v>Αξία επιχείρησης</x:v>
      </x:c>
      <x:c r="D20" s="15"/>
      <x:c r="E20" s="39" t="str">
        <x:f>IF(COUNT('Σύγκριση Εταιρειών'!E19,'Σύγκριση Εταιρειών'!E11,'Σύγκριση Εταιρειών'!E12)&lt;3,"n.a.",IF(TRUE,'Σύγκριση Εταιρειών'!E19+'Σύγκριση Εταιρειών'!E11+'Σύγκριση Εταιρειών'!E12,"n.a."))</x:f>
        <x:v>n.a.</x:v>
      </x:c>
      <x:c r="F20" s="39" t="str">
        <x:f>IF(COUNT('Σύγκριση Εταιρειών'!F19,'Σύγκριση Εταιρειών'!F11,'Σύγκριση Εταιρειών'!F12)&lt;3,"n.a.",IF(TRUE,'Σύγκριση Εταιρειών'!F19+'Σύγκριση Εταιρειών'!F11+'Σύγκριση Εταιρειών'!F12,"n.a."))</x:f>
        <x:v>n.a.</x:v>
      </x:c>
      <x:c r="G20" s="39" t="str">
        <x:f>IF(COUNT('Σύγκριση Εταιρειών'!G19,'Σύγκριση Εταιρειών'!G11,'Σύγκριση Εταιρειών'!G12)&lt;3,"n.a.",IF(TRUE,'Σύγκριση Εταιρειών'!G19+'Σύγκριση Εταιρειών'!G11+'Σύγκριση Εταιρειών'!G12,"n.a."))</x:f>
        <x:v>n.a.</x:v>
      </x:c>
      <x:c r="H20" s="39" t="str">
        <x:f>IF(COUNT('Σύγκριση Εταιρειών'!H19,'Σύγκριση Εταιρειών'!H11,'Σύγκριση Εταιρειών'!H12)&lt;3,"n.a.",IF(TRUE,'Σύγκριση Εταιρειών'!H19+'Σύγκριση Εταιρειών'!H11+'Σύγκριση Εταιρειών'!H12,"n.a."))</x:f>
        <x:v>n.a.</x:v>
      </x:c>
      <x:c r="I20" s="39" t="str">
        <x:f>IF(COUNT('Σύγκριση Εταιρειών'!I19,'Σύγκριση Εταιρειών'!I11,'Σύγκριση Εταιρειών'!I12)&lt;3,"n.a.",IF(TRUE,'Σύγκριση Εταιρειών'!I19+'Σύγκριση Εταιρειών'!I11+'Σύγκριση Εταιρειών'!I12,"n.a."))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Χρηματιστηριακή αξία προς κέρδη κοινών μετόχων</x:v>
      </x:c>
      <x:c r="D21" s="26"/>
      <x:c r="E21" s="41" t="str">
        <x:f>IF(COUNT('Σύγκριση Εταιρειών'!E19,'Σύγκριση Εταιρειών'!E8)&lt;2,"n.a.",IF(('Σύγκριση Εταιρειών'!E8)&gt;0,('Σύγκριση Εταιρειών'!E19)/('Σύγκριση Εταιρειών'!E8),"n.a."))</x:f>
        <x:v>n.a.</x:v>
      </x:c>
      <x:c r="F21" s="41" t="str">
        <x:f>IF(COUNT('Σύγκριση Εταιρειών'!F19,'Σύγκριση Εταιρειών'!F8)&lt;2,"n.a.",IF(('Σύγκριση Εταιρειών'!F8)&gt;0,('Σύγκριση Εταιρειών'!F19)/('Σύγκριση Εταιρειών'!F8),"n.a."))</x:f>
        <x:v>n.a.</x:v>
      </x:c>
      <x:c r="G21" s="41" t="str">
        <x:f>IF(COUNT('Σύγκριση Εταιρειών'!G19,'Σύγκριση Εταιρειών'!G8)&lt;2,"n.a.",IF(('Σύγκριση Εταιρειών'!G8)&gt;0,('Σύγκριση Εταιρειών'!G19)/('Σύγκριση Εταιρειών'!G8),"n.a."))</x:f>
        <x:v>n.a.</x:v>
      </x:c>
      <x:c r="H21" s="41" t="str">
        <x:f>IF(COUNT('Σύγκριση Εταιρειών'!H19,'Σύγκριση Εταιρειών'!H8)&lt;2,"n.a.",IF(('Σύγκριση Εταιρειών'!H8)&gt;0,('Σύγκριση Εταιρειών'!H19)/('Σύγκριση Εταιρειών'!H8),"n.a."))</x:f>
        <x:v>n.a.</x:v>
      </x:c>
      <x:c r="I21" s="41" t="str">
        <x:f>IF(COUNT('Σύγκριση Εταιρειών'!I19,'Σύγκριση Εταιρειών'!I8)&lt;2,"n.a.",IF(('Σύγκριση Εταιρειών'!I8)&gt;0,('Σύγκριση Εταιρειών'!I19)/('Σύγκριση Εταιρειών'!I8),"n.a."))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0" t="str">
        <x:v>Τιμή προς λογιστική αξία</x:v>
      </x:c>
      <x:c r="D22" s="26"/>
      <x:c r="E22" s="42" t="str">
        <x:f>IF(COUNT('Σύγκριση Εταιρειών'!E19,'Σύγκριση Εταιρειών'!E10)&lt;2,"n.a.",IF(('Σύγκριση Εταιρειών'!E10)&gt;0,('Σύγκριση Εταιρειών'!E19)/('Σύγκριση Εταιρειών'!E10),"n.a."))</x:f>
        <x:v>n.a.</x:v>
      </x:c>
      <x:c r="F22" s="42" t="str">
        <x:f>IF(COUNT('Σύγκριση Εταιρειών'!F19,'Σύγκριση Εταιρειών'!F10)&lt;2,"n.a.",IF(('Σύγκριση Εταιρειών'!F10)&gt;0,('Σύγκριση Εταιρειών'!F19)/('Σύγκριση Εταιρειών'!F10),"n.a."))</x:f>
        <x:v>n.a.</x:v>
      </x:c>
      <x:c r="G22" s="42" t="str">
        <x:f>IF(COUNT('Σύγκριση Εταιρειών'!G19,'Σύγκριση Εταιρειών'!G10)&lt;2,"n.a.",IF(('Σύγκριση Εταιρειών'!G10)&gt;0,('Σύγκριση Εταιρειών'!G19)/('Σύγκριση Εταιρειών'!G10),"n.a."))</x:f>
        <x:v>n.a.</x:v>
      </x:c>
      <x:c r="H22" s="42" t="str">
        <x:f>IF(COUNT('Σύγκριση Εταιρειών'!H19,'Σύγκριση Εταιρειών'!H10)&lt;2,"n.a.",IF(('Σύγκριση Εταιρειών'!H10)&gt;0,('Σύγκριση Εταιρειών'!H19)/('Σύγκριση Εταιρειών'!H10),"n.a."))</x:f>
        <x:v>n.a.</x:v>
      </x:c>
      <x:c r="I22" s="42" t="str">
        <x:f>IF(COUNT('Σύγκριση Εταιρειών'!I19,'Σύγκριση Εταιρειών'!I10)&lt;2,"n.a.",IF(('Σύγκριση Εταιρειών'!I10)&gt;0,('Σύγκριση Εταιρειών'!I19)/('Σύγκριση Εταιρειών'!I10),"n.a."))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0" t="str">
        <x:v>Αξία επιχείρησης προς EBITDA</x:v>
      </x:c>
      <x:c r="D23" s="26"/>
      <x:c r="E23" s="41" t="str">
        <x:f>IF(COUNT('Σύγκριση Εταιρειών'!E20,'Σύγκριση Εταιρειών'!E9)&lt;2,"n.a.",IF(('Σύγκριση Εταιρειών'!E9)&gt;0,('Σύγκριση Εταιρειών'!E20)/('Σύγκριση Εταιρειών'!E9),"n.a."))</x:f>
        <x:v>n.a.</x:v>
      </x:c>
      <x:c r="F23" s="41" t="str">
        <x:f>IF(COUNT('Σύγκριση Εταιρειών'!F20,'Σύγκριση Εταιρειών'!F9)&lt;2,"n.a.",IF(('Σύγκριση Εταιρειών'!F9)&gt;0,('Σύγκριση Εταιρειών'!F20)/('Σύγκριση Εταιρειών'!F9),"n.a."))</x:f>
        <x:v>n.a.</x:v>
      </x:c>
      <x:c r="G23" s="41" t="str">
        <x:f>IF(COUNT('Σύγκριση Εταιρειών'!G20,'Σύγκριση Εταιρειών'!G9)&lt;2,"n.a.",IF(('Σύγκριση Εταιρειών'!G9)&gt;0,('Σύγκριση Εταιρειών'!G20)/('Σύγκριση Εταιρειών'!G9),"n.a."))</x:f>
        <x:v>n.a.</x:v>
      </x:c>
      <x:c r="H23" s="41" t="str">
        <x:f>IF(COUNT('Σύγκριση Εταιρειών'!H20,'Σύγκριση Εταιρειών'!H9)&lt;2,"n.a.",IF(('Σύγκριση Εταιρειών'!H9)&gt;0,('Σύγκριση Εταιρειών'!H20)/('Σύγκριση Εταιρειών'!H9),"n.a."))</x:f>
        <x:v>n.a.</x:v>
      </x:c>
      <x:c r="I23" s="41" t="str">
        <x:f>IF(COUNT('Σύγκριση Εταιρειών'!I20,'Σύγκριση Εταιρειών'!I9)&lt;2,"n.a.",IF(('Σύγκριση Εταιρειών'!I9)&gt;0,('Σύγκριση Εταιρειών'!I20)/('Σύγκριση Εταιρειών'!I9),"n.a."))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0" t="str">
        <x:v>Χρηματιστηριακή αξία προς πωλήσεις</x:v>
      </x:c>
      <x:c r="D24" s="26"/>
      <x:c r="E24" s="42" t="str">
        <x:f>IF(COUNT('Σύγκριση Εταιρειών'!E19,'Σύγκριση Εταιρειών'!E7)&lt;2,"n.a.",IF(('Σύγκριση Εταιρειών'!E7)&gt;0,('Σύγκριση Εταιρειών'!E19)/('Σύγκριση Εταιρειών'!E7),"n.a."))</x:f>
        <x:v>n.a.</x:v>
      </x:c>
      <x:c r="F24" s="42" t="str">
        <x:f>IF(COUNT('Σύγκριση Εταιρειών'!F19,'Σύγκριση Εταιρειών'!F7)&lt;2,"n.a.",IF(('Σύγκριση Εταιρειών'!F7)&gt;0,('Σύγκριση Εταιρειών'!F19)/('Σύγκριση Εταιρειών'!F7),"n.a."))</x:f>
        <x:v>n.a.</x:v>
      </x:c>
      <x:c r="G24" s="42" t="str">
        <x:f>IF(COUNT('Σύγκριση Εταιρειών'!G19,'Σύγκριση Εταιρειών'!G7)&lt;2,"n.a.",IF(('Σύγκριση Εταιρειών'!G7)&gt;0,('Σύγκριση Εταιρειών'!G19)/('Σύγκριση Εταιρειών'!G7),"n.a."))</x:f>
        <x:v>n.a.</x:v>
      </x:c>
      <x:c r="H24" s="42" t="str">
        <x:f>IF(COUNT('Σύγκριση Εταιρειών'!H19,'Σύγκριση Εταιρειών'!H7)&lt;2,"n.a.",IF(('Σύγκριση Εταιρειών'!H7)&gt;0,('Σύγκριση Εταιρειών'!H19)/('Σύγκριση Εταιρειών'!H7),"n.a."))</x:f>
        <x:v>n.a.</x:v>
      </x:c>
      <x:c r="I24" s="42" t="str">
        <x:f>IF(COUNT('Σύγκριση Εταιρειών'!I19,'Σύγκριση Εταιρειών'!I7)&lt;2,"n.a.",IF(('Σύγκριση Εταιρειών'!I7)&gt;0,('Σύγκριση Εταιρειών'!I19)/('Σύγκριση Εταιρειών'!I7),"n.a."))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0" t="str">
        <x:v>Κέρδη κοινών μετόχων προς πωλήσεις</x:v>
      </x:c>
      <x:c r="D25" s="21"/>
      <x:c r="E25" s="37" t="str">
        <x:f>IF(COUNT('Σύγκριση Εταιρειών'!E8,'Σύγκριση Εταιρειών'!E7)&lt;2,"n.a.",IF(('Σύγκριση Εταιρειών'!E7)&gt;0,('Σύγκριση Εταιρειών'!E8)/('Σύγκριση Εταιρειών'!E7),"n.a."))</x:f>
        <x:v>n.a.</x:v>
      </x:c>
      <x:c r="F25" s="37" t="str">
        <x:f>IF(COUNT('Σύγκριση Εταιρειών'!F8,'Σύγκριση Εταιρειών'!F7)&lt;2,"n.a.",IF(('Σύγκριση Εταιρειών'!F7)&gt;0,('Σύγκριση Εταιρειών'!F8)/('Σύγκριση Εταιρειών'!F7),"n.a."))</x:f>
        <x:v>n.a.</x:v>
      </x:c>
      <x:c r="G25" s="37" t="str">
        <x:f>IF(COUNT('Σύγκριση Εταιρειών'!G8,'Σύγκριση Εταιρειών'!G7)&lt;2,"n.a.",IF(('Σύγκριση Εταιρειών'!G7)&gt;0,('Σύγκριση Εταιρειών'!G8)/('Σύγκριση Εταιρειών'!G7),"n.a."))</x:f>
        <x:v>n.a.</x:v>
      </x:c>
      <x:c r="H25" s="37" t="str">
        <x:f>IF(COUNT('Σύγκριση Εταιρειών'!H8,'Σύγκριση Εταιρειών'!H7)&lt;2,"n.a.",IF(('Σύγκριση Εταιρειών'!H7)&gt;0,('Σύγκριση Εταιρειών'!H8)/('Σύγκριση Εταιρειών'!H7),"n.a."))</x:f>
        <x:v>n.a.</x:v>
      </x:c>
      <x:c r="I25" s="37" t="str">
        <x:f>IF(COUNT('Σύγκριση Εταιρειών'!I8,'Σύγκριση Εταιρειών'!I7)&lt;2,"n.a.",IF(('Σύγκριση Εταιρειών'!I7)&gt;0,('Σύγκριση Εταιρειών'!I8)/('Σύγκριση Εταιρειών'!I7),"n.a."))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0" t="str">
        <x:v>Γενική ρευστότητα</x:v>
      </x:c>
      <x:c r="D26" s="26"/>
      <x:c r="E26" s="42" t="str">
        <x:f>IF(COUNT('Σύγκριση Εταιρειών'!E15,'Σύγκριση Εταιρειών'!E16)&lt;2,"n.a.",IF(('Σύγκριση Εταιρειών'!E16)&gt;0,('Σύγκριση Εταιρειών'!E15)/('Σύγκριση Εταιρειών'!E16),"n.a."))</x:f>
        <x:v>n.a.</x:v>
      </x:c>
      <x:c r="F26" s="42" t="str">
        <x:f>IF(COUNT('Σύγκριση Εταιρειών'!F15,'Σύγκριση Εταιρειών'!F16)&lt;2,"n.a.",IF(('Σύγκριση Εταιρειών'!F16)&gt;0,('Σύγκριση Εταιρειών'!F15)/('Σύγκριση Εταιρειών'!F16),"n.a."))</x:f>
        <x:v>n.a.</x:v>
      </x:c>
      <x:c r="G26" s="42" t="str">
        <x:f>IF(COUNT('Σύγκριση Εταιρειών'!G15,'Σύγκριση Εταιρειών'!G16)&lt;2,"n.a.",IF(('Σύγκριση Εταιρειών'!G16)&gt;0,('Σύγκριση Εταιρειών'!G15)/('Σύγκριση Εταιρειών'!G16),"n.a."))</x:f>
        <x:v>n.a.</x:v>
      </x:c>
      <x:c r="H26" s="42" t="str">
        <x:f>IF(COUNT('Σύγκριση Εταιρειών'!H15,'Σύγκριση Εταιρειών'!H16)&lt;2,"n.a.",IF(('Σύγκριση Εταιρειών'!H16)&gt;0,('Σύγκριση Εταιρειών'!H15)/('Σύγκριση Εταιρειών'!H16),"n.a."))</x:f>
        <x:v>n.a.</x:v>
      </x:c>
      <x:c r="I26" s="42" t="str">
        <x:f>IF(COUNT('Σύγκριση Εταιρειών'!I15,'Σύγκριση Εταιρειών'!I16)&lt;2,"n.a.",IF(('Σύγκριση Εταιρειών'!I16)&gt;0,('Σύγκριση Εταιρειών'!I15)/('Σύγκριση Εταιρειών'!I16),"n.a."))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0" t="str">
        <x:v>Μερισματική απόδοση</x:v>
      </x:c>
      <x:c r="D27" s="21"/>
      <x:c r="E27" s="37" t="str">
        <x:f>IF(COUNT('Σύγκριση Εταιρειών'!E17,'Σύγκριση Εταιρειών'!E14)&lt;2,"n.a.",IF(('Σύγκριση Εταιρειών'!E14)&gt;0,('Σύγκριση Εταιρειών'!E17)/('Σύγκριση Εταιρειών'!E14),"n.a."))</x:f>
        <x:v>n.a.</x:v>
      </x:c>
      <x:c r="F27" s="37" t="str">
        <x:f>IF(COUNT('Σύγκριση Εταιρειών'!F17,'Σύγκριση Εταιρειών'!F14)&lt;2,"n.a.",IF(('Σύγκριση Εταιρειών'!F14)&gt;0,('Σύγκριση Εταιρειών'!F17)/('Σύγκριση Εταιρειών'!F14),"n.a."))</x:f>
        <x:v>n.a.</x:v>
      </x:c>
      <x:c r="G27" s="37" t="str">
        <x:f>IF(COUNT('Σύγκριση Εταιρειών'!G17,'Σύγκριση Εταιρειών'!G14)&lt;2,"n.a.",IF(('Σύγκριση Εταιρειών'!G14)&gt;0,('Σύγκριση Εταιρειών'!G17)/('Σύγκριση Εταιρειών'!G14),"n.a."))</x:f>
        <x:v>n.a.</x:v>
      </x:c>
      <x:c r="H27" s="37" t="str">
        <x:f>IF(COUNT('Σύγκριση Εταιρειών'!H17,'Σύγκριση Εταιρειών'!H14)&lt;2,"n.a.",IF(('Σύγκριση Εταιρειών'!H14)&gt;0,('Σύγκριση Εταιρειών'!H17)/('Σύγκριση Εταιρειών'!H14),"n.a."))</x:f>
        <x:v>n.a.</x:v>
      </x:c>
      <x:c r="I27" s="37" t="str">
        <x:f>IF(COUNT('Σύγκριση Εταιρειών'!I17,'Σύγκριση Εταιρειών'!I14)&lt;2,"n.a.",IF(('Σύγκριση Εταιρειών'!I14)&gt;0,('Σύγκριση Εταιρειών'!I17)/('Σύγκριση Εταιρειών'!I14),"n.a."))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0" t="str">
        <x:v>Τιμή προς μέσα κέρδη τριετίας</x:v>
      </x:c>
      <x:c r="D28" s="26"/>
      <x:c r="E28" s="42" t="str">
        <x:f>IF(COUNT('Σύγκριση Εταιρειών'!E14,'Σύγκριση Εταιρειών'!E18)&lt;2,"n.a.",IF(('Σύγκριση Εταιρειών'!E18)&gt;0,('Σύγκριση Εταιρειών'!E14)/('Σύγκριση Εταιρειών'!E18),"n.a."))</x:f>
        <x:v>n.a.</x:v>
      </x:c>
      <x:c r="F28" s="42" t="str">
        <x:f>IF(COUNT('Σύγκριση Εταιρειών'!F14,'Σύγκριση Εταιρειών'!F18)&lt;2,"n.a.",IF(('Σύγκριση Εταιρειών'!F18)&gt;0,('Σύγκριση Εταιρειών'!F14)/('Σύγκριση Εταιρειών'!F18),"n.a."))</x:f>
        <x:v>n.a.</x:v>
      </x:c>
      <x:c r="G28" s="42" t="str">
        <x:f>IF(COUNT('Σύγκριση Εταιρειών'!G14,'Σύγκριση Εταιρειών'!G18)&lt;2,"n.a.",IF(('Σύγκριση Εταιρειών'!G18)&gt;0,('Σύγκριση Εταιρειών'!G14)/('Σύγκριση Εταιρειών'!G18),"n.a."))</x:f>
        <x:v>n.a.</x:v>
      </x:c>
      <x:c r="H28" s="42" t="str">
        <x:f>IF(COUNT('Σύγκριση Εταιρειών'!H14,'Σύγκριση Εταιρειών'!H18)&lt;2,"n.a.",IF(('Σύγκριση Εταιρειών'!H18)&gt;0,('Σύγκριση Εταιρειών'!H14)/('Σύγκριση Εταιρειών'!H18),"n.a."))</x:f>
        <x:v>n.a.</x:v>
      </x:c>
      <x:c r="I28" s="42" t="str">
        <x:f>IF(COUNT('Σύγκριση Εταιρειών'!I14,'Σύγκριση Εταιρειών'!I18)&lt;2,"n.a.",IF(('Σύγκριση Εταιρειών'!I18)&gt;0,('Σύγκριση Εταιρειών'!I14)/('Σύγκριση Εταιρειών'!I18),"n.a."))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C32" t="str">
        <x:v>Οικονομική χρήση</x:v>
      </x:c>
      <x:c r="E32" s="63"/>
      <x:c r="F32" s="63"/>
      <x:c r="G32" s="63"/>
      <x:c r="H32" s="63"/>
      <x:c r="I32" s="63"/>
    </x:row>
    <x:row r="33">
      <x:c r="C33" t="str">
        <x:v>Ημερομηνία αποτίμησης</x:v>
      </x:c>
      <x:c r="E33" s="63"/>
      <x:c r="F33" s="63"/>
      <x:c r="G33" s="63"/>
      <x:c r="H33" s="63"/>
      <x:c r="I33" s="63"/>
    </x:row>
    <x:row r="34">
      <x:c r="C34" t="str">
        <x:v>Πηγή και σελίδα</x:v>
      </x:c>
      <x:c r="E34" s="63"/>
      <x:c r="F34" s="63"/>
      <x:c r="G34" s="63"/>
      <x:c r="H34" s="63"/>
      <x:c r="I34" s="6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Αποδόσεις Επένδυσης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Προσωπική απόδοση επένδυσης χωριστά από εταιρική αποδοτικότητα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Προσωπικά στοιχεία επένδυσης, μία περίοδος ανά στήλη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Αρχικό κόστος αγοράς</x:v>
      </x:c>
      <x:c r="D8" s="48"/>
      <x:c r="E8" s="48"/>
      <x:c r="F8" s="48"/>
      <x:c r="G8" s="48"/>
      <x:c r="H8" s="48"/>
      <x:c r="I8" s="48"/>
      <x:c r="J8" s="2"/>
      <x:c r="K8" s="2"/>
      <x:c r="L8" s="2"/>
      <x:c r="M8" s="2"/>
    </x:row>
    <x:row r="9" ht="23" customHeight="1">
      <x:c r="A9" s="1"/>
      <x:c r="B9" s="1"/>
      <x:c r="C9" s="2" t="str">
        <x:v>Τελική αγοραία αξία ή τίμημα πώλησης</x:v>
      </x:c>
      <x:c r="D9" s="48"/>
      <x:c r="E9" s="48"/>
      <x:c r="F9" s="48"/>
      <x:c r="G9" s="48"/>
      <x:c r="H9" s="48"/>
      <x:c r="I9" s="48"/>
      <x:c r="J9" s="2"/>
      <x:c r="K9" s="2"/>
      <x:c r="L9" s="2"/>
      <x:c r="M9" s="2"/>
    </x:row>
    <x:row r="10" ht="23" customHeight="1">
      <x:c r="A10" s="1"/>
      <x:c r="B10" s="1"/>
      <x:c r="C10" s="2" t="str">
        <x:v>Εισπραχθέντα μερίσματα και λοιπές διανομές</x:v>
      </x:c>
      <x:c r="D10" s="48"/>
      <x:c r="E10" s="48"/>
      <x:c r="F10" s="48"/>
      <x:c r="G10" s="48"/>
      <x:c r="H10" s="48"/>
      <x:c r="I10" s="48"/>
      <x:c r="J10" s="2"/>
      <x:c r="K10" s="2"/>
      <x:c r="L10" s="2"/>
      <x:c r="M10" s="2"/>
    </x:row>
    <x:row r="11" ht="23" customHeight="1">
      <x:c r="A11" s="1"/>
      <x:c r="B11" s="1"/>
      <x:c r="C11" s="2" t="str">
        <x:v>Προμήθειες και πληρωμένοι φόροι</x:v>
      </x:c>
      <x:c r="D11" s="48"/>
      <x:c r="E11" s="48"/>
      <x:c r="F11" s="48"/>
      <x:c r="G11" s="48"/>
      <x:c r="H11" s="48"/>
      <x:c r="I11" s="48"/>
      <x:c r="J11" s="2"/>
      <x:c r="K11" s="2"/>
      <x:c r="L11" s="2"/>
      <x:c r="M11" s="2"/>
    </x:row>
    <x:row r="12" ht="23" customHeight="1">
      <x:c r="A12" s="1"/>
      <x:c r="B12" s="1"/>
      <x:c r="C12" s="2" t="str">
        <x:v>Διάρκεια διακράτησης σε έτη</x:v>
      </x:c>
      <x:c r="D12" s="54"/>
      <x:c r="E12" s="54"/>
      <x:c r="F12" s="54"/>
      <x:c r="G12" s="54"/>
      <x:c r="H12" s="54"/>
      <x:c r="I12" s="54"/>
      <x:c r="J12" s="2"/>
      <x:c r="K12" s="2"/>
      <x:c r="L12" s="2"/>
      <x:c r="M12" s="2"/>
    </x:row>
    <x:row r="13" ht="23" customHeight="1">
      <x:c r="A13" s="1"/>
      <x:c r="B13" s="1"/>
      <x:c r="C13" s="20" t="str">
        <x:v>Απόδοση περιόδου με διανομές</x:v>
      </x:c>
      <x:c r="D13" s="21"/>
      <x:c r="E13" s="37" t="str">
        <x:f>IF(COUNT('Αποδόσεις Επένδυσης'!E9,'Αποδόσεις Επένδυσης'!E10,'Αποδόσεις Επένδυσης'!E8,'Αποδόσεις Επένδυσης'!E11)&lt;4,"n.a.",IF(('Αποδόσεις Επένδυσης'!E8)&gt;0,('Αποδόσεις Επένδυσης'!E9+'Αποδόσεις Επένδυσης'!E10-'Αποδόσεις Επένδυσης'!E8-'Αποδόσεις Επένδυσης'!E11)/('Αποδόσεις Επένδυσης'!E8),"n.a."))</x:f>
        <x:v>n.a.</x:v>
      </x:c>
      <x:c r="F13" s="37" t="str">
        <x:f>IF(COUNT('Αποδόσεις Επένδυσης'!F9,'Αποδόσεις Επένδυσης'!F10,'Αποδόσεις Επένδυσης'!F8,'Αποδόσεις Επένδυσης'!F11)&lt;4,"n.a.",IF(('Αποδόσεις Επένδυσης'!F8)&gt;0,('Αποδόσεις Επένδυσης'!F9+'Αποδόσεις Επένδυσης'!F10-'Αποδόσεις Επένδυσης'!F8-'Αποδόσεις Επένδυσης'!F11)/('Αποδόσεις Επένδυσης'!F8),"n.a."))</x:f>
        <x:v>n.a.</x:v>
      </x:c>
      <x:c r="G13" s="37" t="str">
        <x:f>IF(COUNT('Αποδόσεις Επένδυσης'!G9,'Αποδόσεις Επένδυσης'!G10,'Αποδόσεις Επένδυσης'!G8,'Αποδόσεις Επένδυσης'!G11)&lt;4,"n.a.",IF(('Αποδόσεις Επένδυσης'!G8)&gt;0,('Αποδόσεις Επένδυσης'!G9+'Αποδόσεις Επένδυσης'!G10-'Αποδόσεις Επένδυσης'!G8-'Αποδόσεις Επένδυσης'!G11)/('Αποδόσεις Επένδυσης'!G8),"n.a."))</x:f>
        <x:v>n.a.</x:v>
      </x:c>
      <x:c r="H13" s="37" t="str">
        <x:f>IF(COUNT('Αποδόσεις Επένδυσης'!H9,'Αποδόσεις Επένδυσης'!H10,'Αποδόσεις Επένδυσης'!H8,'Αποδόσεις Επένδυσης'!H11)&lt;4,"n.a.",IF(('Αποδόσεις Επένδυσης'!H8)&gt;0,('Αποδόσεις Επένδυσης'!H9+'Αποδόσεις Επένδυσης'!H10-'Αποδόσεις Επένδυσης'!H8-'Αποδόσεις Επένδυσης'!H11)/('Αποδόσεις Επένδυσης'!H8),"n.a."))</x:f>
        <x:v>n.a.</x:v>
      </x:c>
      <x:c r="I13" s="37" t="str">
        <x:f>IF(COUNT('Αποδόσεις Επένδυσης'!I9,'Αποδόσεις Επένδυσης'!I10,'Αποδόσεις Επένδυσης'!I8,'Αποδόσεις Επένδυσης'!I11)&lt;4,"n.a.",IF(('Αποδόσεις Επένδυσης'!I8)&gt;0,('Αποδόσεις Επένδυσης'!I9+'Αποδόσεις Επένδυσης'!I10-'Αποδόσεις Επένδυσης'!I8-'Αποδόσεις Επένδυσης'!I11)/('Αποδόσεις Επένδυσης'!I8),"n.a."))</x:f>
        <x:v>n.a.</x:v>
      </x:c>
      <x:c r="J13" s="2"/>
      <x:c r="K13" s="2" t="str">
        <x:v>Χωρίς ενδιάμεσες αγορές ή πωλήσεις. Για πολλαπλές ροές απαιτούνται ημερομηνίες.</x:v>
      </x:c>
      <x:c r="L13" s="2"/>
      <x:c r="M13" s="2"/>
    </x:row>
    <x:row r="14" ht="23" customHeight="1">
      <x:c r="A14" s="1"/>
      <x:c r="B14" s="1"/>
      <x:c r="C14" s="20" t="str">
        <x:v>Ετησιοποιημένη απόδοση περιόδου</x:v>
      </x:c>
      <x:c r="D14" s="21"/>
      <x:c r="E14" s="36" t="str">
        <x:f>IF(COUNT('Αποδόσεις Επένδυσης'!E13,'Αποδόσεις Επένδυσης'!E12)&lt;2,"n.a.",IF(AND('Αποδόσεις Επένδυσης'!E12&gt;0,1+'Αποδόσεις Επένδυσης'!E13&gt;0),(1+'Αποδόσεις Επένδυσης'!E13)^(1/'Αποδόσεις Επένδυσης'!E12)-1,"n.a."))</x:f>
        <x:v>n.a.</x:v>
      </x:c>
      <x:c r="F14" s="36" t="str">
        <x:f>IF(COUNT('Αποδόσεις Επένδυσης'!F13,'Αποδόσεις Επένδυσης'!F12)&lt;2,"n.a.",IF(AND('Αποδόσεις Επένδυσης'!F12&gt;0,1+'Αποδόσεις Επένδυσης'!F13&gt;0),(1+'Αποδόσεις Επένδυσης'!F13)^(1/'Αποδόσεις Επένδυσης'!F12)-1,"n.a."))</x:f>
        <x:v>n.a.</x:v>
      </x:c>
      <x:c r="G14" s="36" t="str">
        <x:f>IF(COUNT('Αποδόσεις Επένδυσης'!G13,'Αποδόσεις Επένδυσης'!G12)&lt;2,"n.a.",IF(AND('Αποδόσεις Επένδυσης'!G12&gt;0,1+'Αποδόσεις Επένδυσης'!G13&gt;0),(1+'Αποδόσεις Επένδυσης'!G13)^(1/'Αποδόσεις Επένδυσης'!G12)-1,"n.a."))</x:f>
        <x:v>n.a.</x:v>
      </x:c>
      <x:c r="H14" s="36" t="str">
        <x:f>IF(COUNT('Αποδόσεις Επένδυσης'!H13,'Αποδόσεις Επένδυσης'!H12)&lt;2,"n.a.",IF(AND('Αποδόσεις Επένδυσης'!H12&gt;0,1+'Αποδόσεις Επένδυσης'!H13&gt;0),(1+'Αποδόσεις Επένδυσης'!H13)^(1/'Αποδόσεις Επένδυσης'!H12)-1,"n.a."))</x:f>
        <x:v>n.a.</x:v>
      </x:c>
      <x:c r="I14" s="36" t="str">
        <x:f>IF(COUNT('Αποδόσεις Επένδυσης'!I13,'Αποδόσεις Επένδυσης'!I12)&lt;2,"n.a.",IF(AND('Αποδόσεις Επένδυσης'!I12&gt;0,1+'Αποδόσεις Επένδυσης'!I13&gt;0),(1+'Αποδόσεις Επένδυσης'!I13)^(1/'Αποδόσεις Επένδυσης'!I12)-1,"n.a."))</x:f>
        <x:v>n.a.</x:v>
      </x:c>
      <x:c r="J14" s="2"/>
      <x:c r="K14" s="2" t="str">
        <x:v>Προσέγγιση με τις διανομές στο τέλος της περιόδου.</x:v>
      </x:c>
      <x:c r="L14" s="2"/>
      <x:c r="M14" s="2"/>
    </x:row>
    <x:row r="15" ht="25" customHeight="1">
      <x:c r="A15" s="1"/>
      <x:c r="B15" s="1"/>
      <x:c r="C15" s="34" t="str">
        <x:v>Ιστορικό αγοράς από χρηματιστηριακά δεδομένα</x:v>
      </x:c>
      <x:c r="D15" s="34"/>
      <x:c r="E15" s="34"/>
      <x:c r="F15" s="34"/>
      <x:c r="G15" s="34"/>
      <x:c r="H15" s="34"/>
      <x:c r="I15" s="34"/>
      <x:c r="J15" s="2"/>
      <x:c r="K15" s="2"/>
      <x:c r="L15" s="2"/>
      <x:c r="M15" s="2"/>
    </x:row>
    <x:row r="16" ht="23" customHeight="1">
      <x:c r="A16" s="1"/>
      <x:c r="B16" s="1"/>
      <x:c r="C16" s="20" t="str">
        <x:v>Ετήσια απόδοση τιμής</x:v>
      </x:c>
      <x:c r="D16" s="21"/>
      <x:c r="E16" s="36" t="str">
        <x:f>IF(COUNT('Χρηματιστηριακά Δεδομένα'!E7,'Χρηματιστηριακά Δεδομένα'!D7)&lt;2,"n.a.",IF(('Χρηματιστηριακά Δεδομένα'!D7)&gt;0,('Χρηματιστηριακά Δεδομένα'!E7-'Χρηματιστηριακά Δεδομένα'!D7)/('Χρηματιστηριακά Δεδομένα'!D7),"n.a."))</x:f>
        <x:v>n.a.</x:v>
      </x:c>
      <x:c r="F16" s="36" t="str">
        <x:f>IF(COUNT('Χρηματιστηριακά Δεδομένα'!F7,'Χρηματιστηριακά Δεδομένα'!E7)&lt;2,"n.a.",IF(('Χρηματιστηριακά Δεδομένα'!E7)&gt;0,('Χρηματιστηριακά Δεδομένα'!F7-'Χρηματιστηριακά Δεδομένα'!E7)/('Χρηματιστηριακά Δεδομένα'!E7),"n.a."))</x:f>
        <x:v>n.a.</x:v>
      </x:c>
      <x:c r="G16" s="36" t="str">
        <x:f>IF(COUNT('Χρηματιστηριακά Δεδομένα'!G7,'Χρηματιστηριακά Δεδομένα'!F7)&lt;2,"n.a.",IF(('Χρηματιστηριακά Δεδομένα'!F7)&gt;0,('Χρηματιστηριακά Δεδομένα'!G7-'Χρηματιστηριακά Δεδομένα'!F7)/('Χρηματιστηριακά Δεδομένα'!F7),"n.a."))</x:f>
        <x:v>n.a.</x:v>
      </x:c>
      <x:c r="H16" s="36" t="str">
        <x:f>IF(COUNT('Χρηματιστηριακά Δεδομένα'!H7,'Χρηματιστηριακά Δεδομένα'!G7)&lt;2,"n.a.",IF(('Χρηματιστηριακά Δεδομένα'!G7)&gt;0,('Χρηματιστηριακά Δεδομένα'!H7-'Χρηματιστηριακά Δεδομένα'!G7)/('Χρηματιστηριακά Δεδομένα'!G7),"n.a."))</x:f>
        <x:v>n.a.</x:v>
      </x:c>
      <x:c r="I16" s="36" t="str">
        <x:f>IF(COUNT('Χρηματιστηριακά Δεδομένα'!I7,'Χρηματιστηριακά Δεδομένα'!H7)&lt;2,"n.a.",IF(('Χρηματιστηριακά Δεδομένα'!H7)&gt;0,('Χρηματιστηριακά Δεδομένα'!I7-'Χρηματιστηριακά Δεδομένα'!H7)/('Χρηματιστηριακά Δεδομένα'!H7),"n.a."))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0" t="str">
        <x:v>Ετήσια απόδοση τιμής και ταμειακού μερίσματος</x:v>
      </x:c>
      <x:c r="D17" s="21"/>
      <x:c r="E17" s="37" t="str">
        <x:f>IF(COUNT('Χρηματιστηριακά Δεδομένα'!E7,'Χρηματιστηριακά Δεδομένα'!D7,'Χρηματιστηριακά Δεδομένα'!E13)&lt;3,"n.a.",IF(('Χρηματιστηριακά Δεδομένα'!D7)&gt;0,('Χρηματιστηριακά Δεδομένα'!E7-'Χρηματιστηριακά Δεδομένα'!D7+'Χρηματιστηριακά Δεδομένα'!E13)/('Χρηματιστηριακά Δεδομένα'!D7),"n.a."))</x:f>
        <x:v>n.a.</x:v>
      </x:c>
      <x:c r="F17" s="37" t="str">
        <x:f>IF(COUNT('Χρηματιστηριακά Δεδομένα'!F7,'Χρηματιστηριακά Δεδομένα'!E7,'Χρηματιστηριακά Δεδομένα'!F13)&lt;3,"n.a.",IF(('Χρηματιστηριακά Δεδομένα'!E7)&gt;0,('Χρηματιστηριακά Δεδομένα'!F7-'Χρηματιστηριακά Δεδομένα'!E7+'Χρηματιστηριακά Δεδομένα'!F13)/('Χρηματιστηριακά Δεδομένα'!E7),"n.a."))</x:f>
        <x:v>n.a.</x:v>
      </x:c>
      <x:c r="G17" s="37" t="str">
        <x:f>IF(COUNT('Χρηματιστηριακά Δεδομένα'!G7,'Χρηματιστηριακά Δεδομένα'!F7,'Χρηματιστηριακά Δεδομένα'!G13)&lt;3,"n.a.",IF(('Χρηματιστηριακά Δεδομένα'!F7)&gt;0,('Χρηματιστηριακά Δεδομένα'!G7-'Χρηματιστηριακά Δεδομένα'!F7+'Χρηματιστηριακά Δεδομένα'!G13)/('Χρηματιστηριακά Δεδομένα'!F7),"n.a."))</x:f>
        <x:v>n.a.</x:v>
      </x:c>
      <x:c r="H17" s="37" t="str">
        <x:f>IF(COUNT('Χρηματιστηριακά Δεδομένα'!H7,'Χρηματιστηριακά Δεδομένα'!G7,'Χρηματιστηριακά Δεδομένα'!H13)&lt;3,"n.a.",IF(('Χρηματιστηριακά Δεδομένα'!G7)&gt;0,('Χρηματιστηριακά Δεδομένα'!H7-'Χρηματιστηριακά Δεδομένα'!G7+'Χρηματιστηριακά Δεδομένα'!H13)/('Χρηματιστηριακά Δεδομένα'!G7),"n.a."))</x:f>
        <x:v>n.a.</x:v>
      </x:c>
      <x:c r="I17" s="37" t="str">
        <x:f>IF(COUNT('Χρηματιστηριακά Δεδομένα'!I7,'Χρηματιστηριακά Δεδομένα'!H7,'Χρηματιστηριακά Δεδομένα'!I13)&lt;3,"n.a.",IF(('Χρηματιστηριακά Δεδομένα'!H7)&gt;0,('Χρηματιστηριακά Δεδομένα'!I7-'Χρηματιστηριακά Δεδομένα'!H7+'Χρηματιστηριακά Δεδομένα'!I13)/('Χρηματιστηριακά Δεδομένα'!H7),"n.a."))</x:f>
        <x:v>n.a.</x:v>
      </x:c>
      <x:c r="J17" s="2"/>
      <x:c r="K17" s="2" t="str">
        <x:v>Προ προμηθειών και φόρων, χωρίς επανεπένδυση μερισμάτων.</x:v>
      </x:c>
      <x:c r="L17" s="2"/>
      <x:c r="M17" s="2"/>
    </x:row>
    <x:row r="18" ht="23" customHeight="1">
      <x:c r="A18" s="1"/>
      <x:c r="B18" s="1"/>
      <x:c r="C18" s="20" t="str">
        <x:v>Ετήσια απόδοση τιμής δείκτη αναφοράς</x:v>
      </x:c>
      <x:c r="D18" s="21"/>
      <x:c r="E18" s="36" t="str">
        <x:f>IF(COUNT('Χρηματιστηριακά Δεδομένα'!E22,'Χρηματιστηριακά Δεδομένα'!D22)&lt;2,"n.a.",IF(('Χρηματιστηριακά Δεδομένα'!D22)&gt;0,('Χρηματιστηριακά Δεδομένα'!E22-'Χρηματιστηριακά Δεδομένα'!D22)/('Χρηματιστηριακά Δεδομένα'!D22),"n.a."))</x:f>
        <x:v>n.a.</x:v>
      </x:c>
      <x:c r="F18" s="36" t="str">
        <x:f>IF(COUNT('Χρηματιστηριακά Δεδομένα'!F22,'Χρηματιστηριακά Δεδομένα'!E22)&lt;2,"n.a.",IF(('Χρηματιστηριακά Δεδομένα'!E22)&gt;0,('Χρηματιστηριακά Δεδομένα'!F22-'Χρηματιστηριακά Δεδομένα'!E22)/('Χρηματιστηριακά Δεδομένα'!E22),"n.a."))</x:f>
        <x:v>n.a.</x:v>
      </x:c>
      <x:c r="G18" s="36" t="str">
        <x:f>IF(COUNT('Χρηματιστηριακά Δεδομένα'!G22,'Χρηματιστηριακά Δεδομένα'!F22)&lt;2,"n.a.",IF(('Χρηματιστηριακά Δεδομένα'!F22)&gt;0,('Χρηματιστηριακά Δεδομένα'!G22-'Χρηματιστηριακά Δεδομένα'!F22)/('Χρηματιστηριακά Δεδομένα'!F22),"n.a."))</x:f>
        <x:v>n.a.</x:v>
      </x:c>
      <x:c r="H18" s="36" t="str">
        <x:f>IF(COUNT('Χρηματιστηριακά Δεδομένα'!H22,'Χρηματιστηριακά Δεδομένα'!G22)&lt;2,"n.a.",IF(('Χρηματιστηριακά Δεδομένα'!G22)&gt;0,('Χρηματιστηριακά Δεδομένα'!H22-'Χρηματιστηριακά Δεδομένα'!G22)/('Χρηματιστηριακά Δεδομένα'!G22),"n.a."))</x:f>
        <x:v>n.a.</x:v>
      </x:c>
      <x:c r="I18" s="36" t="str">
        <x:f>IF(COUNT('Χρηματιστηριακά Δεδομένα'!I22,'Χρηματιστηριακά Δεδομένα'!H22)&lt;2,"n.a.",IF(('Χρηματιστηριακά Δεδομένα'!H22)&gt;0,('Χρηματιστηριακά Δεδομένα'!I22-'Χρηματιστηριακά Δεδομένα'!H22)/('Χρηματιστηριακά Δεδομένα'!H22),"n.a."))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0" t="str">
        <x:v>Απόδοση τιμής μείον απόδοση τιμής δείκτη</x:v>
      </x:c>
      <x:c r="D19" s="21"/>
      <x:c r="E19" s="37" t="str">
        <x:f>IF(COUNT('Αποδόσεις Επένδυσης'!E16,'Αποδόσεις Επένδυσης'!E18)&lt;2,"n.a.",IF(TRUE,'Αποδόσεις Επένδυσης'!E16-'Αποδόσεις Επένδυσης'!E18,"n.a."))</x:f>
        <x:v>n.a.</x:v>
      </x:c>
      <x:c r="F19" s="37" t="str">
        <x:f>IF(COUNT('Αποδόσεις Επένδυσης'!F16,'Αποδόσεις Επένδυσης'!F18)&lt;2,"n.a.",IF(TRUE,'Αποδόσεις Επένδυσης'!F16-'Αποδόσεις Επένδυσης'!F18,"n.a."))</x:f>
        <x:v>n.a.</x:v>
      </x:c>
      <x:c r="G19" s="37" t="str">
        <x:f>IF(COUNT('Αποδόσεις Επένδυσης'!G16,'Αποδόσεις Επένδυσης'!G18)&lt;2,"n.a.",IF(TRUE,'Αποδόσεις Επένδυσης'!G16-'Αποδόσεις Επένδυσης'!G18,"n.a."))</x:f>
        <x:v>n.a.</x:v>
      </x:c>
      <x:c r="H19" s="37" t="str">
        <x:f>IF(COUNT('Αποδόσεις Επένδυσης'!H16,'Αποδόσεις Επένδυσης'!H18)&lt;2,"n.a.",IF(TRUE,'Αποδόσεις Επένδυσης'!H16-'Αποδόσεις Επένδυσης'!H18,"n.a."))</x:f>
        <x:v>n.a.</x:v>
      </x:c>
      <x:c r="I19" s="37" t="str">
        <x:f>IF(COUNT('Αποδόσεις Επένδυσης'!I16,'Αποδόσεις Επένδυσης'!I18)&lt;2,"n.a.",IF(TRUE,'Αποδόσεις Επένδυσης'!I16-'Αποδόσεις Επένδυσης'!I18,"n.a."))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Μεταβολή δείκτη τιμών παραγωγού ή χονδρικής</x:v>
      </x:c>
      <x:c r="D20" s="21"/>
      <x:c r="E20" s="36" t="str">
        <x:f>IF(COUNT('Χρηματιστηριακά Δεδομένα'!E23,'Χρηματιστηριακά Δεδομένα'!D23)&lt;2,"n.a.",IF(('Χρηματιστηριακά Δεδομένα'!D23)&gt;0,('Χρηματιστηριακά Δεδομένα'!E23-'Χρηματιστηριακά Δεδομένα'!D23)/('Χρηματιστηριακά Δεδομένα'!D23),"n.a."))</x:f>
        <x:v>n.a.</x:v>
      </x:c>
      <x:c r="F20" s="36" t="str">
        <x:f>IF(COUNT('Χρηματιστηριακά Δεδομένα'!F23,'Χρηματιστηριακά Δεδομένα'!E23)&lt;2,"n.a.",IF(('Χρηματιστηριακά Δεδομένα'!E23)&gt;0,('Χρηματιστηριακά Δεδομένα'!F23-'Χρηματιστηριακά Δεδομένα'!E23)/('Χρηματιστηριακά Δεδομένα'!E23),"n.a."))</x:f>
        <x:v>n.a.</x:v>
      </x:c>
      <x:c r="G20" s="36" t="str">
        <x:f>IF(COUNT('Χρηματιστηριακά Δεδομένα'!G23,'Χρηματιστηριακά Δεδομένα'!F23)&lt;2,"n.a.",IF(('Χρηματιστηριακά Δεδομένα'!F23)&gt;0,('Χρηματιστηριακά Δεδομένα'!G23-'Χρηματιστηριακά Δεδομένα'!F23)/('Χρηματιστηριακά Δεδομένα'!F23),"n.a."))</x:f>
        <x:v>n.a.</x:v>
      </x:c>
      <x:c r="H20" s="36" t="str">
        <x:f>IF(COUNT('Χρηματιστηριακά Δεδομένα'!H23,'Χρηματιστηριακά Δεδομένα'!G23)&lt;2,"n.a.",IF(('Χρηματιστηριακά Δεδομένα'!G23)&gt;0,('Χρηματιστηριακά Δεδομένα'!H23-'Χρηματιστηριακά Δεδομένα'!G23)/('Χρηματιστηριακά Δεδομένα'!G23),"n.a."))</x:f>
        <x:v>n.a.</x:v>
      </x:c>
      <x:c r="I20" s="36" t="str">
        <x:f>IF(COUNT('Χρηματιστηριακά Δεδομένα'!I23,'Χρηματιστηριακά Δεδομένα'!H23)&lt;2,"n.a.",IF(('Χρηματιστηριακά Δεδομένα'!H23)&gt;0,('Χρηματιστηριακά Δεδομένα'!I23-'Χρηματιστηριακά Δεδομένα'!H23)/('Χρηματιστηριακά Δεδομένα'!H23),"n.a."))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Σύγκριση ETF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Τρία κεφάλαια με μηνιαίες καταβολές και επιλογή μερισμάτων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10" t="str">
        <x:v>Παραδοχές κεφαλαίων</x:v>
      </x:c>
      <x:c r="D5" s="10" t="str">
        <x:v>Κεφάλαιο 1</x:v>
      </x:c>
      <x:c r="E5" s="10" t="str">
        <x:v>Κεφάλαιο 2</x:v>
      </x:c>
      <x:c r="F5" s="10" t="str">
        <x:v>Κεφάλαιο 3</x:v>
      </x:c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 t="str">
        <x:v>Κωδικός / όνομα κεφαλαίου</x:v>
      </x:c>
      <x:c r="D6" s="62"/>
      <x:c r="E6" s="62"/>
      <x:c r="F6" s="6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Αρχική κατάθεση</x:v>
      </x:c>
      <x:c r="D7" s="62"/>
      <x:c r="E7" s="62"/>
      <x:c r="F7" s="62"/>
      <x:c r="G7" s="2"/>
      <x:c r="H7" s="2"/>
      <x:c r="I7" s="2"/>
      <x:c r="J7" s="2"/>
      <x:c r="K7" s="2" t="str">
        <x:v>Όλα τα ποσά σε νομισματικές μονάδες. Οι καταβολές γίνονται μετά τις αποδόσεις και διανομές.</x:v>
      </x:c>
      <x:c r="L7" s="2"/>
      <x:c r="M7" s="2"/>
    </x:row>
    <x:row r="8" ht="23" customHeight="1">
      <x:c r="A8" s="1"/>
      <x:c r="B8" s="1"/>
      <x:c r="C8" s="2" t="str">
        <x:v>Μηνιαία καταβολή στο τέλος του μήνα</x:v>
      </x:c>
      <x:c r="D8" s="62"/>
      <x:c r="E8" s="62"/>
      <x:c r="F8" s="6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 t="str">
        <x:v>Ετήσια αύξηση τιμής προ εξόδων</x:v>
      </x:c>
      <x:c r="D9" s="81"/>
      <x:c r="E9" s="81"/>
      <x:c r="F9" s="81"/>
      <x:c r="G9" s="2"/>
      <x:c r="H9" s="2"/>
      <x:c r="I9" s="2"/>
      <x:c r="J9" s="2"/>
      <x:c r="K9" s="2" t="str">
        <x:v>Μηνιαία μεταβολή τιμής = (1 + ανάπτυξη)^(1/12) − 1. Μέρισμα και έξοδα: ετήσιο / 12.</x:v>
      </x:c>
      <x:c r="L9" s="2"/>
      <x:c r="M9" s="2"/>
    </x:row>
    <x:row r="10" ht="23" customHeight="1">
      <x:c r="A10" s="1"/>
      <x:c r="B10" s="1"/>
      <x:c r="C10" s="2" t="str">
        <x:v>Ετήσια μερισματική απόδοση</x:v>
      </x:c>
      <x:c r="D10" s="81"/>
      <x:c r="E10" s="81"/>
      <x:c r="F10" s="81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2" t="str">
        <x:v>Ετήσιος δείκτης εξόδων</x:v>
      </x:c>
      <x:c r="D11" s="81"/>
      <x:c r="E11" s="81"/>
      <x:c r="F11" s="81"/>
      <x:c r="G11" s="2"/>
      <x:c r="H11" s="2"/>
      <x:c r="I11" s="2"/>
      <x:c r="J11" s="2"/>
      <x:c r="K11" s="2" t="str">
        <x:v>Καταχωρίστε αύξηση τιμής προ εξόδων. Η συνολική απόδοση θα διπλομετρούσε μερίσματα.</x:v>
      </x:c>
      <x:c r="L11" s="2"/>
      <x:c r="M11" s="2"/>
    </x:row>
    <x:row r="12" ht="23" customHeight="1">
      <x:c r="A12" s="1"/>
      <x:c r="B12" s="1"/>
      <x:c r="C12" s="2" t="str">
        <x:v>Επανεπένδυση μερισμάτων (1 = ναι, 0 = όχι)</x:v>
      </x:c>
      <x:c r="D12" s="62"/>
      <x:c r="E12" s="62"/>
      <x:c r="F12" s="6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 t="str">
        <x:v>Τρέχουσα ηλικία, προαιρετικά</x:v>
      </x:c>
      <x:c r="D13" s="62"/>
      <x:c r="E13" s="62"/>
      <x:c r="F13" s="6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4" customHeight="1">
      <x:c r="A16" s="1"/>
      <x:c r="B16" s="1"/>
      <x:c r="C16" s="84" t="str">
        <x:v>Έτος</x:v>
      </x:c>
      <x:c r="D16" s="83" t="str">
        <x:v>Υπόλοιπο 1</x:v>
      </x:c>
      <x:c r="E16" s="83" t="str">
        <x:v>Ταμειακά μερίσματα
Κεφάλαιο 1</x:v>
      </x:c>
      <x:c r="F16" s="83" t="str">
        <x:v>Υπόλοιπο 2</x:v>
      </x:c>
      <x:c r="G16" s="83" t="str">
        <x:v>Ταμειακά μερίσματα
Κεφάλαιο 2</x:v>
      </x:c>
      <x:c r="H16" s="83" t="str">
        <x:v>Υπόλοιπο 3</x:v>
      </x:c>
      <x:c r="I16" s="83" t="str">
        <x:v>Ταμειακά μερίσματα
Κεφάλαιο 3</x:v>
      </x:c>
      <x:c r="J16" s="2"/>
      <x:c r="K16" s="2"/>
      <x:c r="L16" s="2"/>
      <x:c r="M16" s="2"/>
    </x:row>
    <x:row r="17" ht="23" customHeight="1">
      <x:c r="A17" s="1"/>
      <x:c r="B17" s="1"/>
      <x:c r="C17" s="85" t="n">
        <x:v>0</x:v>
      </x:c>
      <x:c r="D17" s="15" t="str">
        <x:f>IF(ISNUMBER(D33),D33,"n.a.")</x:f>
        <x:v>n.a.</x:v>
      </x:c>
      <x:c r="E17" s="15" t="str">
        <x:f>IF(ISNUMBER(E33),E33,"n.a.")</x:f>
        <x:v>n.a.</x:v>
      </x:c>
      <x:c r="F17" s="15" t="str">
        <x:f>IF(ISNUMBER(G33),G33,"n.a.")</x:f>
        <x:v>n.a.</x:v>
      </x:c>
      <x:c r="G17" s="15" t="str">
        <x:f>IF(ISNUMBER(H33),H33,"n.a.")</x:f>
        <x:v>n.a.</x:v>
      </x:c>
      <x:c r="H17" s="15" t="str">
        <x:f>IF(ISNUMBER(J33),J33,"n.a.")</x:f>
        <x:v>n.a.</x:v>
      </x:c>
      <x:c r="I17" s="15" t="str">
        <x:f>IF(ISNUMBER(K33),K33,"n.a.")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85" t="n">
        <x:v>1</x:v>
      </x:c>
      <x:c r="D18" s="15" t="str">
        <x:f>IF(ISNUMBER(D45),D45,"n.a.")</x:f>
        <x:v>n.a.</x:v>
      </x:c>
      <x:c r="E18" s="15" t="str">
        <x:f>IF(ISNUMBER(E45),E45,"n.a.")</x:f>
        <x:v>n.a.</x:v>
      </x:c>
      <x:c r="F18" s="15" t="str">
        <x:f>IF(ISNUMBER(G45),G45,"n.a.")</x:f>
        <x:v>n.a.</x:v>
      </x:c>
      <x:c r="G18" s="15" t="str">
        <x:f>IF(ISNUMBER(H45),H45,"n.a.")</x:f>
        <x:v>n.a.</x:v>
      </x:c>
      <x:c r="H18" s="15" t="str">
        <x:f>IF(ISNUMBER(J45),J45,"n.a.")</x:f>
        <x:v>n.a.</x:v>
      </x:c>
      <x:c r="I18" s="15" t="str">
        <x:f>IF(ISNUMBER(K45),K45,"n.a.")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85" t="n">
        <x:v>2</x:v>
      </x:c>
      <x:c r="D19" s="15" t="str">
        <x:f>IF(ISNUMBER(D57),D57,"n.a.")</x:f>
        <x:v>n.a.</x:v>
      </x:c>
      <x:c r="E19" s="15" t="str">
        <x:f>IF(ISNUMBER(E57),E57,"n.a.")</x:f>
        <x:v>n.a.</x:v>
      </x:c>
      <x:c r="F19" s="15" t="str">
        <x:f>IF(ISNUMBER(G57),G57,"n.a.")</x:f>
        <x:v>n.a.</x:v>
      </x:c>
      <x:c r="G19" s="15" t="str">
        <x:f>IF(ISNUMBER(H57),H57,"n.a.")</x:f>
        <x:v>n.a.</x:v>
      </x:c>
      <x:c r="H19" s="15" t="str">
        <x:f>IF(ISNUMBER(J57),J57,"n.a.")</x:f>
        <x:v>n.a.</x:v>
      </x:c>
      <x:c r="I19" s="15" t="str">
        <x:f>IF(ISNUMBER(K57),K57,"n.a.")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85" t="n">
        <x:v>3</x:v>
      </x:c>
      <x:c r="D20" s="15" t="str">
        <x:f>IF(ISNUMBER(D69),D69,"n.a.")</x:f>
        <x:v>n.a.</x:v>
      </x:c>
      <x:c r="E20" s="15" t="str">
        <x:f>IF(ISNUMBER(E69),E69,"n.a.")</x:f>
        <x:v>n.a.</x:v>
      </x:c>
      <x:c r="F20" s="15" t="str">
        <x:f>IF(ISNUMBER(G69),G69,"n.a.")</x:f>
        <x:v>n.a.</x:v>
      </x:c>
      <x:c r="G20" s="15" t="str">
        <x:f>IF(ISNUMBER(H69),H69,"n.a.")</x:f>
        <x:v>n.a.</x:v>
      </x:c>
      <x:c r="H20" s="15" t="str">
        <x:f>IF(ISNUMBER(J69),J69,"n.a.")</x:f>
        <x:v>n.a.</x:v>
      </x:c>
      <x:c r="I20" s="15" t="str">
        <x:f>IF(ISNUMBER(K69),K69,"n.a.")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85" t="n">
        <x:v>4</x:v>
      </x:c>
      <x:c r="D21" s="15" t="str">
        <x:f>IF(ISNUMBER(D81),D81,"n.a.")</x:f>
        <x:v>n.a.</x:v>
      </x:c>
      <x:c r="E21" s="15" t="str">
        <x:f>IF(ISNUMBER(E81),E81,"n.a.")</x:f>
        <x:v>n.a.</x:v>
      </x:c>
      <x:c r="F21" s="15" t="str">
        <x:f>IF(ISNUMBER(G81),G81,"n.a.")</x:f>
        <x:v>n.a.</x:v>
      </x:c>
      <x:c r="G21" s="15" t="str">
        <x:f>IF(ISNUMBER(H81),H81,"n.a.")</x:f>
        <x:v>n.a.</x:v>
      </x:c>
      <x:c r="H21" s="15" t="str">
        <x:f>IF(ISNUMBER(J81),J81,"n.a.")</x:f>
        <x:v>n.a.</x:v>
      </x:c>
      <x:c r="I21" s="15" t="str">
        <x:f>IF(ISNUMBER(K81),K81,"n.a.")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85" t="n">
        <x:v>5</x:v>
      </x:c>
      <x:c r="D22" s="15" t="str">
        <x:f>IF(ISNUMBER(D93),D93,"n.a.")</x:f>
        <x:v>n.a.</x:v>
      </x:c>
      <x:c r="E22" s="15" t="str">
        <x:f>IF(ISNUMBER(E93),E93,"n.a.")</x:f>
        <x:v>n.a.</x:v>
      </x:c>
      <x:c r="F22" s="15" t="str">
        <x:f>IF(ISNUMBER(G93),G93,"n.a.")</x:f>
        <x:v>n.a.</x:v>
      </x:c>
      <x:c r="G22" s="15" t="str">
        <x:f>IF(ISNUMBER(H93),H93,"n.a.")</x:f>
        <x:v>n.a.</x:v>
      </x:c>
      <x:c r="H22" s="15" t="str">
        <x:f>IF(ISNUMBER(J93),J93,"n.a.")</x:f>
        <x:v>n.a.</x:v>
      </x:c>
      <x:c r="I22" s="15" t="str">
        <x:f>IF(ISNUMBER(K93),K93,"n.a.")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85" t="n">
        <x:v>6</x:v>
      </x:c>
      <x:c r="D23" s="15" t="str">
        <x:f>IF(ISNUMBER(D105),D105,"n.a.")</x:f>
        <x:v>n.a.</x:v>
      </x:c>
      <x:c r="E23" s="15" t="str">
        <x:f>IF(ISNUMBER(E105),E105,"n.a.")</x:f>
        <x:v>n.a.</x:v>
      </x:c>
      <x:c r="F23" s="15" t="str">
        <x:f>IF(ISNUMBER(G105),G105,"n.a.")</x:f>
        <x:v>n.a.</x:v>
      </x:c>
      <x:c r="G23" s="15" t="str">
        <x:f>IF(ISNUMBER(H105),H105,"n.a.")</x:f>
        <x:v>n.a.</x:v>
      </x:c>
      <x:c r="H23" s="15" t="str">
        <x:f>IF(ISNUMBER(J105),J105,"n.a.")</x:f>
        <x:v>n.a.</x:v>
      </x:c>
      <x:c r="I23" s="15" t="str">
        <x:f>IF(ISNUMBER(K105),K105,"n.a.")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85" t="n">
        <x:v>7</x:v>
      </x:c>
      <x:c r="D24" s="15" t="str">
        <x:f>IF(ISNUMBER(D117),D117,"n.a.")</x:f>
        <x:v>n.a.</x:v>
      </x:c>
      <x:c r="E24" s="15" t="str">
        <x:f>IF(ISNUMBER(E117),E117,"n.a.")</x:f>
        <x:v>n.a.</x:v>
      </x:c>
      <x:c r="F24" s="15" t="str">
        <x:f>IF(ISNUMBER(G117),G117,"n.a.")</x:f>
        <x:v>n.a.</x:v>
      </x:c>
      <x:c r="G24" s="15" t="str">
        <x:f>IF(ISNUMBER(H117),H117,"n.a.")</x:f>
        <x:v>n.a.</x:v>
      </x:c>
      <x:c r="H24" s="15" t="str">
        <x:f>IF(ISNUMBER(J117),J117,"n.a.")</x:f>
        <x:v>n.a.</x:v>
      </x:c>
      <x:c r="I24" s="15" t="str">
        <x:f>IF(ISNUMBER(K117),K117,"n.a.")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85" t="n">
        <x:v>8</x:v>
      </x:c>
      <x:c r="D25" s="15" t="str">
        <x:f>IF(ISNUMBER(D129),D129,"n.a.")</x:f>
        <x:v>n.a.</x:v>
      </x:c>
      <x:c r="E25" s="15" t="str">
        <x:f>IF(ISNUMBER(E129),E129,"n.a.")</x:f>
        <x:v>n.a.</x:v>
      </x:c>
      <x:c r="F25" s="15" t="str">
        <x:f>IF(ISNUMBER(G129),G129,"n.a.")</x:f>
        <x:v>n.a.</x:v>
      </x:c>
      <x:c r="G25" s="15" t="str">
        <x:f>IF(ISNUMBER(H129),H129,"n.a.")</x:f>
        <x:v>n.a.</x:v>
      </x:c>
      <x:c r="H25" s="15" t="str">
        <x:f>IF(ISNUMBER(J129),J129,"n.a.")</x:f>
        <x:v>n.a.</x:v>
      </x:c>
      <x:c r="I25" s="15" t="str">
        <x:f>IF(ISNUMBER(K129),K129,"n.a.")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85" t="n">
        <x:v>9</x:v>
      </x:c>
      <x:c r="D26" s="15" t="str">
        <x:f>IF(ISNUMBER(D141),D141,"n.a.")</x:f>
        <x:v>n.a.</x:v>
      </x:c>
      <x:c r="E26" s="15" t="str">
        <x:f>IF(ISNUMBER(E141),E141,"n.a.")</x:f>
        <x:v>n.a.</x:v>
      </x:c>
      <x:c r="F26" s="15" t="str">
        <x:f>IF(ISNUMBER(G141),G141,"n.a.")</x:f>
        <x:v>n.a.</x:v>
      </x:c>
      <x:c r="G26" s="15" t="str">
        <x:f>IF(ISNUMBER(H141),H141,"n.a.")</x:f>
        <x:v>n.a.</x:v>
      </x:c>
      <x:c r="H26" s="15" t="str">
        <x:f>IF(ISNUMBER(J141),J141,"n.a.")</x:f>
        <x:v>n.a.</x:v>
      </x:c>
      <x:c r="I26" s="15" t="str">
        <x:f>IF(ISNUMBER(K141),K141,"n.a.")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85" t="n">
        <x:v>10</x:v>
      </x:c>
      <x:c r="D27" s="15" t="str">
        <x:f>IF(ISNUMBER(D153),D153,"n.a.")</x:f>
        <x:v>n.a.</x:v>
      </x:c>
      <x:c r="E27" s="15" t="str">
        <x:f>IF(ISNUMBER(E153),E153,"n.a.")</x:f>
        <x:v>n.a.</x:v>
      </x:c>
      <x:c r="F27" s="15" t="str">
        <x:f>IF(ISNUMBER(G153),G153,"n.a.")</x:f>
        <x:v>n.a.</x:v>
      </x:c>
      <x:c r="G27" s="15" t="str">
        <x:f>IF(ISNUMBER(H153),H153,"n.a.")</x:f>
        <x:v>n.a.</x:v>
      </x:c>
      <x:c r="H27" s="15" t="str">
        <x:f>IF(ISNUMBER(J153),J153,"n.a.")</x:f>
        <x:v>n.a.</x:v>
      </x:c>
      <x:c r="I27" s="15" t="str">
        <x:f>IF(ISNUMBER(K153),K153,"n.a.")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C29" t="str">
        <x:v>Αναλυτικός μηνιαίος υπολογισμός παρακάτω</x:v>
      </x:c>
    </x:row>
    <x:row r="31" ht="42" customHeight="1">
      <x:c r="C31" s="88" t="str">
        <x:v>Μήνας</x:v>
      </x:c>
      <x:c r="D31" s="88" t="str">
        <x:v>Υπόλοιπο 1</x:v>
      </x:c>
      <x:c r="E31" s="88" t="str">
        <x:v>Καταβληθέντα 1 σωρευτικά</x:v>
      </x:c>
      <x:c r="F31" s="88" t="str">
        <x:v>Καταβολές 1</x:v>
      </x:c>
      <x:c r="G31" s="88" t="str">
        <x:v>Υπόλοιπο 2</x:v>
      </x:c>
      <x:c r="H31" s="88" t="str">
        <x:v>Καταβληθέντα 2 σωρευτικά</x:v>
      </x:c>
      <x:c r="I31" s="88" t="str">
        <x:v>Καταβολές 2</x:v>
      </x:c>
      <x:c r="J31" s="88" t="str">
        <x:v>Υπόλοιπο 3</x:v>
      </x:c>
      <x:c r="K31" s="88" t="str">
        <x:v>Καταβληθέντα 3 σωρευτικά</x:v>
      </x:c>
      <x:c r="L31" s="88" t="str">
        <x:v>Καταβολές 3</x:v>
      </x:c>
    </x:row>
    <x:row r="32">
      <x:c r="D32" s="89"/>
      <x:c r="E32" s="89"/>
      <x:c r="F32" s="89"/>
      <x:c r="G32" s="89"/>
      <x:c r="H32" s="89"/>
      <x:c r="I32" s="89"/>
      <x:c r="J32" s="89"/>
      <x:c r="K32" s="89"/>
      <x:c r="L32" s="89"/>
    </x:row>
    <x:row r="33">
      <x:c r="C33" t="n">
        <x:v>0</x:v>
      </x:c>
      <x:c r="D33" s="89" t="str">
        <x:f>IF(AND(COUNT(D$7:D$12)=6,D$7&gt;=0,D$8&gt;=0,D$9&gt;-1,D$10&gt;=0,D$11&gt;=0,OR(D$12=0,D$12=1)),D$7,"n.a.")</x:f>
        <x:v>n.a.</x:v>
      </x:c>
      <x:c r="E33" s="89" t="str">
        <x:f>IF(AND(COUNT(D$7:D$12)=6,D$7&gt;=0,D$8&gt;=0,D$9&gt;-1,D$10&gt;=0,D$11&gt;=0,OR(D$12=0,D$12=1)),0,"n.a.")</x:f>
        <x:v>n.a.</x:v>
      </x:c>
      <x:c r="F33" s="89" t="str">
        <x:f>IF(AND(COUNT(D$7:D$12)=6,D$7&gt;=0,D$8&gt;=0,D$9&gt;-1,D$10&gt;=0,D$11&gt;=0,OR(D$12=0,D$12=1)),D$7+0*D$8,"n.a.")</x:f>
        <x:v>n.a.</x:v>
      </x:c>
      <x:c r="G33" s="89" t="str">
        <x:f>IF(AND(COUNT(E$7:E$12)=6,E$7&gt;=0,E$8&gt;=0,E$9&gt;-1,E$10&gt;=0,E$11&gt;=0,OR(E$12=0,E$12=1)),E$7,"n.a.")</x:f>
        <x:v>n.a.</x:v>
      </x:c>
      <x:c r="H33" s="89" t="str">
        <x:f>IF(AND(COUNT(E$7:E$12)=6,E$7&gt;=0,E$8&gt;=0,E$9&gt;-1,E$10&gt;=0,E$11&gt;=0,OR(E$12=0,E$12=1)),0,"n.a.")</x:f>
        <x:v>n.a.</x:v>
      </x:c>
      <x:c r="I33" s="89" t="str">
        <x:f>IF(AND(COUNT(E$7:E$12)=6,E$7&gt;=0,E$8&gt;=0,E$9&gt;-1,E$10&gt;=0,E$11&gt;=0,OR(E$12=0,E$12=1)),E$7+0*E$8,"n.a.")</x:f>
        <x:v>n.a.</x:v>
      </x:c>
      <x:c r="J33" s="89" t="str">
        <x:f>IF(AND(COUNT(F$7:F$12)=6,F$7&gt;=0,F$8&gt;=0,F$9&gt;-1,F$10&gt;=0,F$11&gt;=0,OR(F$12=0,F$12=1)),F$7,"n.a.")</x:f>
        <x:v>n.a.</x:v>
      </x:c>
      <x:c r="K33" s="89" t="str">
        <x:f>IF(AND(COUNT(F$7:F$12)=6,F$7&gt;=0,F$8&gt;=0,F$9&gt;-1,F$10&gt;=0,F$11&gt;=0,OR(F$12=0,F$12=1)),0,"n.a.")</x:f>
        <x:v>n.a.</x:v>
      </x:c>
      <x:c r="L33" s="89" t="str">
        <x:f>IF(AND(COUNT(F$7:F$12)=6,F$7&gt;=0,F$8&gt;=0,F$9&gt;-1,F$10&gt;=0,F$11&gt;=0,OR(F$12=0,F$12=1)),F$7+0*F$8,"n.a.")</x:f>
        <x:v>n.a.</x:v>
      </x:c>
    </x:row>
    <x:row r="34">
      <x:c r="C34" t="n">
        <x:v>1</x:v>
      </x:c>
      <x:c r="D34" s="89" t="str">
        <x:f>IF(AND(AND(COUNT(D$7:D$12)=6,D$7&gt;=0,D$8&gt;=0,D$9&gt;-1,D$10&gt;=0,D$11&gt;=0,OR(D$12=0,D$12=1)),ISNUMBER(D33)),D33*((1+D$9)^(1/12)+D$10/12*D$12-D$11/12)+D$8,"n.a.")</x:f>
        <x:v>n.a.</x:v>
      </x:c>
      <x:c r="E34" s="89" t="str">
        <x:f>IF(AND(AND(COUNT(D$7:D$12)=6,D$7&gt;=0,D$8&gt;=0,D$9&gt;-1,D$10&gt;=0,D$11&gt;=0,OR(D$12=0,D$12=1)),COUNT(E33,D33)=2),E33+D33*D$10/12*(1-D$12),"n.a.")</x:f>
        <x:v>n.a.</x:v>
      </x:c>
      <x:c r="F34" s="89" t="str">
        <x:f>IF(AND(COUNT(D$7:D$12)=6,D$7&gt;=0,D$8&gt;=0,D$9&gt;-1,D$10&gt;=0,D$11&gt;=0,OR(D$12=0,D$12=1)),D$7+1*D$8,"n.a.")</x:f>
        <x:v>n.a.</x:v>
      </x:c>
      <x:c r="G34" s="89" t="str">
        <x:f>IF(AND(AND(COUNT(E$7:E$12)=6,E$7&gt;=0,E$8&gt;=0,E$9&gt;-1,E$10&gt;=0,E$11&gt;=0,OR(E$12=0,E$12=1)),ISNUMBER(G33)),G33*((1+E$9)^(1/12)+E$10/12*E$12-E$11/12)+E$8,"n.a.")</x:f>
        <x:v>n.a.</x:v>
      </x:c>
      <x:c r="H34" s="89" t="str">
        <x:f>IF(AND(AND(COUNT(E$7:E$12)=6,E$7&gt;=0,E$8&gt;=0,E$9&gt;-1,E$10&gt;=0,E$11&gt;=0,OR(E$12=0,E$12=1)),COUNT(H33,G33)=2),H33+G33*E$10/12*(1-E$12),"n.a.")</x:f>
        <x:v>n.a.</x:v>
      </x:c>
      <x:c r="I34" s="89" t="str">
        <x:f>IF(AND(COUNT(E$7:E$12)=6,E$7&gt;=0,E$8&gt;=0,E$9&gt;-1,E$10&gt;=0,E$11&gt;=0,OR(E$12=0,E$12=1)),E$7+1*E$8,"n.a.")</x:f>
        <x:v>n.a.</x:v>
      </x:c>
      <x:c r="J34" s="89" t="str">
        <x:f>IF(AND(AND(COUNT(F$7:F$12)=6,F$7&gt;=0,F$8&gt;=0,F$9&gt;-1,F$10&gt;=0,F$11&gt;=0,OR(F$12=0,F$12=1)),ISNUMBER(J33)),J33*((1+F$9)^(1/12)+F$10/12*F$12-F$11/12)+F$8,"n.a.")</x:f>
        <x:v>n.a.</x:v>
      </x:c>
      <x:c r="K34" s="89" t="str">
        <x:f>IF(AND(AND(COUNT(F$7:F$12)=6,F$7&gt;=0,F$8&gt;=0,F$9&gt;-1,F$10&gt;=0,F$11&gt;=0,OR(F$12=0,F$12=1)),COUNT(K33,J33)=2),K33+J33*F$10/12*(1-F$12),"n.a.")</x:f>
        <x:v>n.a.</x:v>
      </x:c>
      <x:c r="L34" s="89" t="str">
        <x:f>IF(AND(COUNT(F$7:F$12)=6,F$7&gt;=0,F$8&gt;=0,F$9&gt;-1,F$10&gt;=0,F$11&gt;=0,OR(F$12=0,F$12=1)),F$7+1*F$8,"n.a.")</x:f>
        <x:v>n.a.</x:v>
      </x:c>
    </x:row>
    <x:row r="35">
      <x:c r="C35" t="n">
        <x:v>2</x:v>
      </x:c>
      <x:c r="D35" s="89" t="str">
        <x:f>IF(AND(AND(COUNT(D$7:D$12)=6,D$7&gt;=0,D$8&gt;=0,D$9&gt;-1,D$10&gt;=0,D$11&gt;=0,OR(D$12=0,D$12=1)),ISNUMBER(D34)),D34*((1+D$9)^(1/12)+D$10/12*D$12-D$11/12)+D$8,"n.a.")</x:f>
        <x:v>n.a.</x:v>
      </x:c>
      <x:c r="E35" s="89" t="str">
        <x:f>IF(AND(AND(COUNT(D$7:D$12)=6,D$7&gt;=0,D$8&gt;=0,D$9&gt;-1,D$10&gt;=0,D$11&gt;=0,OR(D$12=0,D$12=1)),COUNT(E34,D34)=2),E34+D34*D$10/12*(1-D$12),"n.a.")</x:f>
        <x:v>n.a.</x:v>
      </x:c>
      <x:c r="F35" s="89" t="str">
        <x:f>IF(AND(COUNT(D$7:D$12)=6,D$7&gt;=0,D$8&gt;=0,D$9&gt;-1,D$10&gt;=0,D$11&gt;=0,OR(D$12=0,D$12=1)),D$7+2*D$8,"n.a.")</x:f>
        <x:v>n.a.</x:v>
      </x:c>
      <x:c r="G35" s="89" t="str">
        <x:f>IF(AND(AND(COUNT(E$7:E$12)=6,E$7&gt;=0,E$8&gt;=0,E$9&gt;-1,E$10&gt;=0,E$11&gt;=0,OR(E$12=0,E$12=1)),ISNUMBER(G34)),G34*((1+E$9)^(1/12)+E$10/12*E$12-E$11/12)+E$8,"n.a.")</x:f>
        <x:v>n.a.</x:v>
      </x:c>
      <x:c r="H35" s="89" t="str">
        <x:f>IF(AND(AND(COUNT(E$7:E$12)=6,E$7&gt;=0,E$8&gt;=0,E$9&gt;-1,E$10&gt;=0,E$11&gt;=0,OR(E$12=0,E$12=1)),COUNT(H34,G34)=2),H34+G34*E$10/12*(1-E$12),"n.a.")</x:f>
        <x:v>n.a.</x:v>
      </x:c>
      <x:c r="I35" s="89" t="str">
        <x:f>IF(AND(COUNT(E$7:E$12)=6,E$7&gt;=0,E$8&gt;=0,E$9&gt;-1,E$10&gt;=0,E$11&gt;=0,OR(E$12=0,E$12=1)),E$7+2*E$8,"n.a.")</x:f>
        <x:v>n.a.</x:v>
      </x:c>
      <x:c r="J35" s="89" t="str">
        <x:f>IF(AND(AND(COUNT(F$7:F$12)=6,F$7&gt;=0,F$8&gt;=0,F$9&gt;-1,F$10&gt;=0,F$11&gt;=0,OR(F$12=0,F$12=1)),ISNUMBER(J34)),J34*((1+F$9)^(1/12)+F$10/12*F$12-F$11/12)+F$8,"n.a.")</x:f>
        <x:v>n.a.</x:v>
      </x:c>
      <x:c r="K35" s="89" t="str">
        <x:f>IF(AND(AND(COUNT(F$7:F$12)=6,F$7&gt;=0,F$8&gt;=0,F$9&gt;-1,F$10&gt;=0,F$11&gt;=0,OR(F$12=0,F$12=1)),COUNT(K34,J34)=2),K34+J34*F$10/12*(1-F$12),"n.a.")</x:f>
        <x:v>n.a.</x:v>
      </x:c>
      <x:c r="L35" s="89" t="str">
        <x:f>IF(AND(COUNT(F$7:F$12)=6,F$7&gt;=0,F$8&gt;=0,F$9&gt;-1,F$10&gt;=0,F$11&gt;=0,OR(F$12=0,F$12=1)),F$7+2*F$8,"n.a.")</x:f>
        <x:v>n.a.</x:v>
      </x:c>
    </x:row>
    <x:row r="36">
      <x:c r="C36" t="n">
        <x:v>3</x:v>
      </x:c>
      <x:c r="D36" s="89" t="str">
        <x:f>IF(AND(AND(COUNT(D$7:D$12)=6,D$7&gt;=0,D$8&gt;=0,D$9&gt;-1,D$10&gt;=0,D$11&gt;=0,OR(D$12=0,D$12=1)),ISNUMBER(D35)),D35*((1+D$9)^(1/12)+D$10/12*D$12-D$11/12)+D$8,"n.a.")</x:f>
        <x:v>n.a.</x:v>
      </x:c>
      <x:c r="E36" s="89" t="str">
        <x:f>IF(AND(AND(COUNT(D$7:D$12)=6,D$7&gt;=0,D$8&gt;=0,D$9&gt;-1,D$10&gt;=0,D$11&gt;=0,OR(D$12=0,D$12=1)),COUNT(E35,D35)=2),E35+D35*D$10/12*(1-D$12),"n.a.")</x:f>
        <x:v>n.a.</x:v>
      </x:c>
      <x:c r="F36" s="89" t="str">
        <x:f>IF(AND(COUNT(D$7:D$12)=6,D$7&gt;=0,D$8&gt;=0,D$9&gt;-1,D$10&gt;=0,D$11&gt;=0,OR(D$12=0,D$12=1)),D$7+3*D$8,"n.a.")</x:f>
        <x:v>n.a.</x:v>
      </x:c>
      <x:c r="G36" s="89" t="str">
        <x:f>IF(AND(AND(COUNT(E$7:E$12)=6,E$7&gt;=0,E$8&gt;=0,E$9&gt;-1,E$10&gt;=0,E$11&gt;=0,OR(E$12=0,E$12=1)),ISNUMBER(G35)),G35*((1+E$9)^(1/12)+E$10/12*E$12-E$11/12)+E$8,"n.a.")</x:f>
        <x:v>n.a.</x:v>
      </x:c>
      <x:c r="H36" s="89" t="str">
        <x:f>IF(AND(AND(COUNT(E$7:E$12)=6,E$7&gt;=0,E$8&gt;=0,E$9&gt;-1,E$10&gt;=0,E$11&gt;=0,OR(E$12=0,E$12=1)),COUNT(H35,G35)=2),H35+G35*E$10/12*(1-E$12),"n.a.")</x:f>
        <x:v>n.a.</x:v>
      </x:c>
      <x:c r="I36" s="89" t="str">
        <x:f>IF(AND(COUNT(E$7:E$12)=6,E$7&gt;=0,E$8&gt;=0,E$9&gt;-1,E$10&gt;=0,E$11&gt;=0,OR(E$12=0,E$12=1)),E$7+3*E$8,"n.a.")</x:f>
        <x:v>n.a.</x:v>
      </x:c>
      <x:c r="J36" s="89" t="str">
        <x:f>IF(AND(AND(COUNT(F$7:F$12)=6,F$7&gt;=0,F$8&gt;=0,F$9&gt;-1,F$10&gt;=0,F$11&gt;=0,OR(F$12=0,F$12=1)),ISNUMBER(J35)),J35*((1+F$9)^(1/12)+F$10/12*F$12-F$11/12)+F$8,"n.a.")</x:f>
        <x:v>n.a.</x:v>
      </x:c>
      <x:c r="K36" s="89" t="str">
        <x:f>IF(AND(AND(COUNT(F$7:F$12)=6,F$7&gt;=0,F$8&gt;=0,F$9&gt;-1,F$10&gt;=0,F$11&gt;=0,OR(F$12=0,F$12=1)),COUNT(K35,J35)=2),K35+J35*F$10/12*(1-F$12),"n.a.")</x:f>
        <x:v>n.a.</x:v>
      </x:c>
      <x:c r="L36" s="89" t="str">
        <x:f>IF(AND(COUNT(F$7:F$12)=6,F$7&gt;=0,F$8&gt;=0,F$9&gt;-1,F$10&gt;=0,F$11&gt;=0,OR(F$12=0,F$12=1)),F$7+3*F$8,"n.a.")</x:f>
        <x:v>n.a.</x:v>
      </x:c>
    </x:row>
    <x:row r="37">
      <x:c r="C37" t="n">
        <x:v>4</x:v>
      </x:c>
      <x:c r="D37" s="89" t="str">
        <x:f>IF(AND(AND(COUNT(D$7:D$12)=6,D$7&gt;=0,D$8&gt;=0,D$9&gt;-1,D$10&gt;=0,D$11&gt;=0,OR(D$12=0,D$12=1)),ISNUMBER(D36)),D36*((1+D$9)^(1/12)+D$10/12*D$12-D$11/12)+D$8,"n.a.")</x:f>
        <x:v>n.a.</x:v>
      </x:c>
      <x:c r="E37" s="89" t="str">
        <x:f>IF(AND(AND(COUNT(D$7:D$12)=6,D$7&gt;=0,D$8&gt;=0,D$9&gt;-1,D$10&gt;=0,D$11&gt;=0,OR(D$12=0,D$12=1)),COUNT(E36,D36)=2),E36+D36*D$10/12*(1-D$12),"n.a.")</x:f>
        <x:v>n.a.</x:v>
      </x:c>
      <x:c r="F37" s="89" t="str">
        <x:f>IF(AND(COUNT(D$7:D$12)=6,D$7&gt;=0,D$8&gt;=0,D$9&gt;-1,D$10&gt;=0,D$11&gt;=0,OR(D$12=0,D$12=1)),D$7+4*D$8,"n.a.")</x:f>
        <x:v>n.a.</x:v>
      </x:c>
      <x:c r="G37" s="89" t="str">
        <x:f>IF(AND(AND(COUNT(E$7:E$12)=6,E$7&gt;=0,E$8&gt;=0,E$9&gt;-1,E$10&gt;=0,E$11&gt;=0,OR(E$12=0,E$12=1)),ISNUMBER(G36)),G36*((1+E$9)^(1/12)+E$10/12*E$12-E$11/12)+E$8,"n.a.")</x:f>
        <x:v>n.a.</x:v>
      </x:c>
      <x:c r="H37" s="89" t="str">
        <x:f>IF(AND(AND(COUNT(E$7:E$12)=6,E$7&gt;=0,E$8&gt;=0,E$9&gt;-1,E$10&gt;=0,E$11&gt;=0,OR(E$12=0,E$12=1)),COUNT(H36,G36)=2),H36+G36*E$10/12*(1-E$12),"n.a.")</x:f>
        <x:v>n.a.</x:v>
      </x:c>
      <x:c r="I37" s="89" t="str">
        <x:f>IF(AND(COUNT(E$7:E$12)=6,E$7&gt;=0,E$8&gt;=0,E$9&gt;-1,E$10&gt;=0,E$11&gt;=0,OR(E$12=0,E$12=1)),E$7+4*E$8,"n.a.")</x:f>
        <x:v>n.a.</x:v>
      </x:c>
      <x:c r="J37" s="89" t="str">
        <x:f>IF(AND(AND(COUNT(F$7:F$12)=6,F$7&gt;=0,F$8&gt;=0,F$9&gt;-1,F$10&gt;=0,F$11&gt;=0,OR(F$12=0,F$12=1)),ISNUMBER(J36)),J36*((1+F$9)^(1/12)+F$10/12*F$12-F$11/12)+F$8,"n.a.")</x:f>
        <x:v>n.a.</x:v>
      </x:c>
      <x:c r="K37" s="89" t="str">
        <x:f>IF(AND(AND(COUNT(F$7:F$12)=6,F$7&gt;=0,F$8&gt;=0,F$9&gt;-1,F$10&gt;=0,F$11&gt;=0,OR(F$12=0,F$12=1)),COUNT(K36,J36)=2),K36+J36*F$10/12*(1-F$12),"n.a.")</x:f>
        <x:v>n.a.</x:v>
      </x:c>
      <x:c r="L37" s="89" t="str">
        <x:f>IF(AND(COUNT(F$7:F$12)=6,F$7&gt;=0,F$8&gt;=0,F$9&gt;-1,F$10&gt;=0,F$11&gt;=0,OR(F$12=0,F$12=1)),F$7+4*F$8,"n.a.")</x:f>
        <x:v>n.a.</x:v>
      </x:c>
    </x:row>
    <x:row r="38">
      <x:c r="C38" t="n">
        <x:v>5</x:v>
      </x:c>
      <x:c r="D38" s="89" t="str">
        <x:f>IF(AND(AND(COUNT(D$7:D$12)=6,D$7&gt;=0,D$8&gt;=0,D$9&gt;-1,D$10&gt;=0,D$11&gt;=0,OR(D$12=0,D$12=1)),ISNUMBER(D37)),D37*((1+D$9)^(1/12)+D$10/12*D$12-D$11/12)+D$8,"n.a.")</x:f>
        <x:v>n.a.</x:v>
      </x:c>
      <x:c r="E38" s="89" t="str">
        <x:f>IF(AND(AND(COUNT(D$7:D$12)=6,D$7&gt;=0,D$8&gt;=0,D$9&gt;-1,D$10&gt;=0,D$11&gt;=0,OR(D$12=0,D$12=1)),COUNT(E37,D37)=2),E37+D37*D$10/12*(1-D$12),"n.a.")</x:f>
        <x:v>n.a.</x:v>
      </x:c>
      <x:c r="F38" s="89" t="str">
        <x:f>IF(AND(COUNT(D$7:D$12)=6,D$7&gt;=0,D$8&gt;=0,D$9&gt;-1,D$10&gt;=0,D$11&gt;=0,OR(D$12=0,D$12=1)),D$7+5*D$8,"n.a.")</x:f>
        <x:v>n.a.</x:v>
      </x:c>
      <x:c r="G38" s="89" t="str">
        <x:f>IF(AND(AND(COUNT(E$7:E$12)=6,E$7&gt;=0,E$8&gt;=0,E$9&gt;-1,E$10&gt;=0,E$11&gt;=0,OR(E$12=0,E$12=1)),ISNUMBER(G37)),G37*((1+E$9)^(1/12)+E$10/12*E$12-E$11/12)+E$8,"n.a.")</x:f>
        <x:v>n.a.</x:v>
      </x:c>
      <x:c r="H38" s="89" t="str">
        <x:f>IF(AND(AND(COUNT(E$7:E$12)=6,E$7&gt;=0,E$8&gt;=0,E$9&gt;-1,E$10&gt;=0,E$11&gt;=0,OR(E$12=0,E$12=1)),COUNT(H37,G37)=2),H37+G37*E$10/12*(1-E$12),"n.a.")</x:f>
        <x:v>n.a.</x:v>
      </x:c>
      <x:c r="I38" s="89" t="str">
        <x:f>IF(AND(COUNT(E$7:E$12)=6,E$7&gt;=0,E$8&gt;=0,E$9&gt;-1,E$10&gt;=0,E$11&gt;=0,OR(E$12=0,E$12=1)),E$7+5*E$8,"n.a.")</x:f>
        <x:v>n.a.</x:v>
      </x:c>
      <x:c r="J38" s="89" t="str">
        <x:f>IF(AND(AND(COUNT(F$7:F$12)=6,F$7&gt;=0,F$8&gt;=0,F$9&gt;-1,F$10&gt;=0,F$11&gt;=0,OR(F$12=0,F$12=1)),ISNUMBER(J37)),J37*((1+F$9)^(1/12)+F$10/12*F$12-F$11/12)+F$8,"n.a.")</x:f>
        <x:v>n.a.</x:v>
      </x:c>
      <x:c r="K38" s="89" t="str">
        <x:f>IF(AND(AND(COUNT(F$7:F$12)=6,F$7&gt;=0,F$8&gt;=0,F$9&gt;-1,F$10&gt;=0,F$11&gt;=0,OR(F$12=0,F$12=1)),COUNT(K37,J37)=2),K37+J37*F$10/12*(1-F$12),"n.a.")</x:f>
        <x:v>n.a.</x:v>
      </x:c>
      <x:c r="L38" s="89" t="str">
        <x:f>IF(AND(COUNT(F$7:F$12)=6,F$7&gt;=0,F$8&gt;=0,F$9&gt;-1,F$10&gt;=0,F$11&gt;=0,OR(F$12=0,F$12=1)),F$7+5*F$8,"n.a.")</x:f>
        <x:v>n.a.</x:v>
      </x:c>
    </x:row>
    <x:row r="39">
      <x:c r="C39" t="n">
        <x:v>6</x:v>
      </x:c>
      <x:c r="D39" s="89" t="str">
        <x:f>IF(AND(AND(COUNT(D$7:D$12)=6,D$7&gt;=0,D$8&gt;=0,D$9&gt;-1,D$10&gt;=0,D$11&gt;=0,OR(D$12=0,D$12=1)),ISNUMBER(D38)),D38*((1+D$9)^(1/12)+D$10/12*D$12-D$11/12)+D$8,"n.a.")</x:f>
        <x:v>n.a.</x:v>
      </x:c>
      <x:c r="E39" s="89" t="str">
        <x:f>IF(AND(AND(COUNT(D$7:D$12)=6,D$7&gt;=0,D$8&gt;=0,D$9&gt;-1,D$10&gt;=0,D$11&gt;=0,OR(D$12=0,D$12=1)),COUNT(E38,D38)=2),E38+D38*D$10/12*(1-D$12),"n.a.")</x:f>
        <x:v>n.a.</x:v>
      </x:c>
      <x:c r="F39" s="89" t="str">
        <x:f>IF(AND(COUNT(D$7:D$12)=6,D$7&gt;=0,D$8&gt;=0,D$9&gt;-1,D$10&gt;=0,D$11&gt;=0,OR(D$12=0,D$12=1)),D$7+6*D$8,"n.a.")</x:f>
        <x:v>n.a.</x:v>
      </x:c>
      <x:c r="G39" s="89" t="str">
        <x:f>IF(AND(AND(COUNT(E$7:E$12)=6,E$7&gt;=0,E$8&gt;=0,E$9&gt;-1,E$10&gt;=0,E$11&gt;=0,OR(E$12=0,E$12=1)),ISNUMBER(G38)),G38*((1+E$9)^(1/12)+E$10/12*E$12-E$11/12)+E$8,"n.a.")</x:f>
        <x:v>n.a.</x:v>
      </x:c>
      <x:c r="H39" s="89" t="str">
        <x:f>IF(AND(AND(COUNT(E$7:E$12)=6,E$7&gt;=0,E$8&gt;=0,E$9&gt;-1,E$10&gt;=0,E$11&gt;=0,OR(E$12=0,E$12=1)),COUNT(H38,G38)=2),H38+G38*E$10/12*(1-E$12),"n.a.")</x:f>
        <x:v>n.a.</x:v>
      </x:c>
      <x:c r="I39" s="89" t="str">
        <x:f>IF(AND(COUNT(E$7:E$12)=6,E$7&gt;=0,E$8&gt;=0,E$9&gt;-1,E$10&gt;=0,E$11&gt;=0,OR(E$12=0,E$12=1)),E$7+6*E$8,"n.a.")</x:f>
        <x:v>n.a.</x:v>
      </x:c>
      <x:c r="J39" s="89" t="str">
        <x:f>IF(AND(AND(COUNT(F$7:F$12)=6,F$7&gt;=0,F$8&gt;=0,F$9&gt;-1,F$10&gt;=0,F$11&gt;=0,OR(F$12=0,F$12=1)),ISNUMBER(J38)),J38*((1+F$9)^(1/12)+F$10/12*F$12-F$11/12)+F$8,"n.a.")</x:f>
        <x:v>n.a.</x:v>
      </x:c>
      <x:c r="K39" s="89" t="str">
        <x:f>IF(AND(AND(COUNT(F$7:F$12)=6,F$7&gt;=0,F$8&gt;=0,F$9&gt;-1,F$10&gt;=0,F$11&gt;=0,OR(F$12=0,F$12=1)),COUNT(K38,J38)=2),K38+J38*F$10/12*(1-F$12),"n.a.")</x:f>
        <x:v>n.a.</x:v>
      </x:c>
      <x:c r="L39" s="89" t="str">
        <x:f>IF(AND(COUNT(F$7:F$12)=6,F$7&gt;=0,F$8&gt;=0,F$9&gt;-1,F$10&gt;=0,F$11&gt;=0,OR(F$12=0,F$12=1)),F$7+6*F$8,"n.a.")</x:f>
        <x:v>n.a.</x:v>
      </x:c>
    </x:row>
    <x:row r="40">
      <x:c r="C40" t="n">
        <x:v>7</x:v>
      </x:c>
      <x:c r="D40" s="89" t="str">
        <x:f>IF(AND(AND(COUNT(D$7:D$12)=6,D$7&gt;=0,D$8&gt;=0,D$9&gt;-1,D$10&gt;=0,D$11&gt;=0,OR(D$12=0,D$12=1)),ISNUMBER(D39)),D39*((1+D$9)^(1/12)+D$10/12*D$12-D$11/12)+D$8,"n.a.")</x:f>
        <x:v>n.a.</x:v>
      </x:c>
      <x:c r="E40" s="89" t="str">
        <x:f>IF(AND(AND(COUNT(D$7:D$12)=6,D$7&gt;=0,D$8&gt;=0,D$9&gt;-1,D$10&gt;=0,D$11&gt;=0,OR(D$12=0,D$12=1)),COUNT(E39,D39)=2),E39+D39*D$10/12*(1-D$12),"n.a.")</x:f>
        <x:v>n.a.</x:v>
      </x:c>
      <x:c r="F40" s="89" t="str">
        <x:f>IF(AND(COUNT(D$7:D$12)=6,D$7&gt;=0,D$8&gt;=0,D$9&gt;-1,D$10&gt;=0,D$11&gt;=0,OR(D$12=0,D$12=1)),D$7+7*D$8,"n.a.")</x:f>
        <x:v>n.a.</x:v>
      </x:c>
      <x:c r="G40" s="89" t="str">
        <x:f>IF(AND(AND(COUNT(E$7:E$12)=6,E$7&gt;=0,E$8&gt;=0,E$9&gt;-1,E$10&gt;=0,E$11&gt;=0,OR(E$12=0,E$12=1)),ISNUMBER(G39)),G39*((1+E$9)^(1/12)+E$10/12*E$12-E$11/12)+E$8,"n.a.")</x:f>
        <x:v>n.a.</x:v>
      </x:c>
      <x:c r="H40" s="89" t="str">
        <x:f>IF(AND(AND(COUNT(E$7:E$12)=6,E$7&gt;=0,E$8&gt;=0,E$9&gt;-1,E$10&gt;=0,E$11&gt;=0,OR(E$12=0,E$12=1)),COUNT(H39,G39)=2),H39+G39*E$10/12*(1-E$12),"n.a.")</x:f>
        <x:v>n.a.</x:v>
      </x:c>
      <x:c r="I40" s="89" t="str">
        <x:f>IF(AND(COUNT(E$7:E$12)=6,E$7&gt;=0,E$8&gt;=0,E$9&gt;-1,E$10&gt;=0,E$11&gt;=0,OR(E$12=0,E$12=1)),E$7+7*E$8,"n.a.")</x:f>
        <x:v>n.a.</x:v>
      </x:c>
      <x:c r="J40" s="89" t="str">
        <x:f>IF(AND(AND(COUNT(F$7:F$12)=6,F$7&gt;=0,F$8&gt;=0,F$9&gt;-1,F$10&gt;=0,F$11&gt;=0,OR(F$12=0,F$12=1)),ISNUMBER(J39)),J39*((1+F$9)^(1/12)+F$10/12*F$12-F$11/12)+F$8,"n.a.")</x:f>
        <x:v>n.a.</x:v>
      </x:c>
      <x:c r="K40" s="89" t="str">
        <x:f>IF(AND(AND(COUNT(F$7:F$12)=6,F$7&gt;=0,F$8&gt;=0,F$9&gt;-1,F$10&gt;=0,F$11&gt;=0,OR(F$12=0,F$12=1)),COUNT(K39,J39)=2),K39+J39*F$10/12*(1-F$12),"n.a.")</x:f>
        <x:v>n.a.</x:v>
      </x:c>
      <x:c r="L40" s="89" t="str">
        <x:f>IF(AND(COUNT(F$7:F$12)=6,F$7&gt;=0,F$8&gt;=0,F$9&gt;-1,F$10&gt;=0,F$11&gt;=0,OR(F$12=0,F$12=1)),F$7+7*F$8,"n.a.")</x:f>
        <x:v>n.a.</x:v>
      </x:c>
    </x:row>
    <x:row r="41">
      <x:c r="C41" t="n">
        <x:v>8</x:v>
      </x:c>
      <x:c r="D41" s="89" t="str">
        <x:f>IF(AND(AND(COUNT(D$7:D$12)=6,D$7&gt;=0,D$8&gt;=0,D$9&gt;-1,D$10&gt;=0,D$11&gt;=0,OR(D$12=0,D$12=1)),ISNUMBER(D40)),D40*((1+D$9)^(1/12)+D$10/12*D$12-D$11/12)+D$8,"n.a.")</x:f>
        <x:v>n.a.</x:v>
      </x:c>
      <x:c r="E41" s="89" t="str">
        <x:f>IF(AND(AND(COUNT(D$7:D$12)=6,D$7&gt;=0,D$8&gt;=0,D$9&gt;-1,D$10&gt;=0,D$11&gt;=0,OR(D$12=0,D$12=1)),COUNT(E40,D40)=2),E40+D40*D$10/12*(1-D$12),"n.a.")</x:f>
        <x:v>n.a.</x:v>
      </x:c>
      <x:c r="F41" s="89" t="str">
        <x:f>IF(AND(COUNT(D$7:D$12)=6,D$7&gt;=0,D$8&gt;=0,D$9&gt;-1,D$10&gt;=0,D$11&gt;=0,OR(D$12=0,D$12=1)),D$7+8*D$8,"n.a.")</x:f>
        <x:v>n.a.</x:v>
      </x:c>
      <x:c r="G41" s="89" t="str">
        <x:f>IF(AND(AND(COUNT(E$7:E$12)=6,E$7&gt;=0,E$8&gt;=0,E$9&gt;-1,E$10&gt;=0,E$11&gt;=0,OR(E$12=0,E$12=1)),ISNUMBER(G40)),G40*((1+E$9)^(1/12)+E$10/12*E$12-E$11/12)+E$8,"n.a.")</x:f>
        <x:v>n.a.</x:v>
      </x:c>
      <x:c r="H41" s="89" t="str">
        <x:f>IF(AND(AND(COUNT(E$7:E$12)=6,E$7&gt;=0,E$8&gt;=0,E$9&gt;-1,E$10&gt;=0,E$11&gt;=0,OR(E$12=0,E$12=1)),COUNT(H40,G40)=2),H40+G40*E$10/12*(1-E$12),"n.a.")</x:f>
        <x:v>n.a.</x:v>
      </x:c>
      <x:c r="I41" s="89" t="str">
        <x:f>IF(AND(COUNT(E$7:E$12)=6,E$7&gt;=0,E$8&gt;=0,E$9&gt;-1,E$10&gt;=0,E$11&gt;=0,OR(E$12=0,E$12=1)),E$7+8*E$8,"n.a.")</x:f>
        <x:v>n.a.</x:v>
      </x:c>
      <x:c r="J41" s="89" t="str">
        <x:f>IF(AND(AND(COUNT(F$7:F$12)=6,F$7&gt;=0,F$8&gt;=0,F$9&gt;-1,F$10&gt;=0,F$11&gt;=0,OR(F$12=0,F$12=1)),ISNUMBER(J40)),J40*((1+F$9)^(1/12)+F$10/12*F$12-F$11/12)+F$8,"n.a.")</x:f>
        <x:v>n.a.</x:v>
      </x:c>
      <x:c r="K41" s="89" t="str">
        <x:f>IF(AND(AND(COUNT(F$7:F$12)=6,F$7&gt;=0,F$8&gt;=0,F$9&gt;-1,F$10&gt;=0,F$11&gt;=0,OR(F$12=0,F$12=1)),COUNT(K40,J40)=2),K40+J40*F$10/12*(1-F$12),"n.a.")</x:f>
        <x:v>n.a.</x:v>
      </x:c>
      <x:c r="L41" s="89" t="str">
        <x:f>IF(AND(COUNT(F$7:F$12)=6,F$7&gt;=0,F$8&gt;=0,F$9&gt;-1,F$10&gt;=0,F$11&gt;=0,OR(F$12=0,F$12=1)),F$7+8*F$8,"n.a.")</x:f>
        <x:v>n.a.</x:v>
      </x:c>
    </x:row>
    <x:row r="42">
      <x:c r="C42" t="n">
        <x:v>9</x:v>
      </x:c>
      <x:c r="D42" s="89" t="str">
        <x:f>IF(AND(AND(COUNT(D$7:D$12)=6,D$7&gt;=0,D$8&gt;=0,D$9&gt;-1,D$10&gt;=0,D$11&gt;=0,OR(D$12=0,D$12=1)),ISNUMBER(D41)),D41*((1+D$9)^(1/12)+D$10/12*D$12-D$11/12)+D$8,"n.a.")</x:f>
        <x:v>n.a.</x:v>
      </x:c>
      <x:c r="E42" s="89" t="str">
        <x:f>IF(AND(AND(COUNT(D$7:D$12)=6,D$7&gt;=0,D$8&gt;=0,D$9&gt;-1,D$10&gt;=0,D$11&gt;=0,OR(D$12=0,D$12=1)),COUNT(E41,D41)=2),E41+D41*D$10/12*(1-D$12),"n.a.")</x:f>
        <x:v>n.a.</x:v>
      </x:c>
      <x:c r="F42" s="89" t="str">
        <x:f>IF(AND(COUNT(D$7:D$12)=6,D$7&gt;=0,D$8&gt;=0,D$9&gt;-1,D$10&gt;=0,D$11&gt;=0,OR(D$12=0,D$12=1)),D$7+9*D$8,"n.a.")</x:f>
        <x:v>n.a.</x:v>
      </x:c>
      <x:c r="G42" s="89" t="str">
        <x:f>IF(AND(AND(COUNT(E$7:E$12)=6,E$7&gt;=0,E$8&gt;=0,E$9&gt;-1,E$10&gt;=0,E$11&gt;=0,OR(E$12=0,E$12=1)),ISNUMBER(G41)),G41*((1+E$9)^(1/12)+E$10/12*E$12-E$11/12)+E$8,"n.a.")</x:f>
        <x:v>n.a.</x:v>
      </x:c>
      <x:c r="H42" s="89" t="str">
        <x:f>IF(AND(AND(COUNT(E$7:E$12)=6,E$7&gt;=0,E$8&gt;=0,E$9&gt;-1,E$10&gt;=0,E$11&gt;=0,OR(E$12=0,E$12=1)),COUNT(H41,G41)=2),H41+G41*E$10/12*(1-E$12),"n.a.")</x:f>
        <x:v>n.a.</x:v>
      </x:c>
      <x:c r="I42" s="89" t="str">
        <x:f>IF(AND(COUNT(E$7:E$12)=6,E$7&gt;=0,E$8&gt;=0,E$9&gt;-1,E$10&gt;=0,E$11&gt;=0,OR(E$12=0,E$12=1)),E$7+9*E$8,"n.a.")</x:f>
        <x:v>n.a.</x:v>
      </x:c>
      <x:c r="J42" s="89" t="str">
        <x:f>IF(AND(AND(COUNT(F$7:F$12)=6,F$7&gt;=0,F$8&gt;=0,F$9&gt;-1,F$10&gt;=0,F$11&gt;=0,OR(F$12=0,F$12=1)),ISNUMBER(J41)),J41*((1+F$9)^(1/12)+F$10/12*F$12-F$11/12)+F$8,"n.a.")</x:f>
        <x:v>n.a.</x:v>
      </x:c>
      <x:c r="K42" s="89" t="str">
        <x:f>IF(AND(AND(COUNT(F$7:F$12)=6,F$7&gt;=0,F$8&gt;=0,F$9&gt;-1,F$10&gt;=0,F$11&gt;=0,OR(F$12=0,F$12=1)),COUNT(K41,J41)=2),K41+J41*F$10/12*(1-F$12),"n.a.")</x:f>
        <x:v>n.a.</x:v>
      </x:c>
      <x:c r="L42" s="89" t="str">
        <x:f>IF(AND(COUNT(F$7:F$12)=6,F$7&gt;=0,F$8&gt;=0,F$9&gt;-1,F$10&gt;=0,F$11&gt;=0,OR(F$12=0,F$12=1)),F$7+9*F$8,"n.a.")</x:f>
        <x:v>n.a.</x:v>
      </x:c>
    </x:row>
    <x:row r="43">
      <x:c r="C43" t="n">
        <x:v>10</x:v>
      </x:c>
      <x:c r="D43" s="89" t="str">
        <x:f>IF(AND(AND(COUNT(D$7:D$12)=6,D$7&gt;=0,D$8&gt;=0,D$9&gt;-1,D$10&gt;=0,D$11&gt;=0,OR(D$12=0,D$12=1)),ISNUMBER(D42)),D42*((1+D$9)^(1/12)+D$10/12*D$12-D$11/12)+D$8,"n.a.")</x:f>
        <x:v>n.a.</x:v>
      </x:c>
      <x:c r="E43" s="89" t="str">
        <x:f>IF(AND(AND(COUNT(D$7:D$12)=6,D$7&gt;=0,D$8&gt;=0,D$9&gt;-1,D$10&gt;=0,D$11&gt;=0,OR(D$12=0,D$12=1)),COUNT(E42,D42)=2),E42+D42*D$10/12*(1-D$12),"n.a.")</x:f>
        <x:v>n.a.</x:v>
      </x:c>
      <x:c r="F43" s="89" t="str">
        <x:f>IF(AND(COUNT(D$7:D$12)=6,D$7&gt;=0,D$8&gt;=0,D$9&gt;-1,D$10&gt;=0,D$11&gt;=0,OR(D$12=0,D$12=1)),D$7+10*D$8,"n.a.")</x:f>
        <x:v>n.a.</x:v>
      </x:c>
      <x:c r="G43" s="89" t="str">
        <x:f>IF(AND(AND(COUNT(E$7:E$12)=6,E$7&gt;=0,E$8&gt;=0,E$9&gt;-1,E$10&gt;=0,E$11&gt;=0,OR(E$12=0,E$12=1)),ISNUMBER(G42)),G42*((1+E$9)^(1/12)+E$10/12*E$12-E$11/12)+E$8,"n.a.")</x:f>
        <x:v>n.a.</x:v>
      </x:c>
      <x:c r="H43" s="89" t="str">
        <x:f>IF(AND(AND(COUNT(E$7:E$12)=6,E$7&gt;=0,E$8&gt;=0,E$9&gt;-1,E$10&gt;=0,E$11&gt;=0,OR(E$12=0,E$12=1)),COUNT(H42,G42)=2),H42+G42*E$10/12*(1-E$12),"n.a.")</x:f>
        <x:v>n.a.</x:v>
      </x:c>
      <x:c r="I43" s="89" t="str">
        <x:f>IF(AND(COUNT(E$7:E$12)=6,E$7&gt;=0,E$8&gt;=0,E$9&gt;-1,E$10&gt;=0,E$11&gt;=0,OR(E$12=0,E$12=1)),E$7+10*E$8,"n.a.")</x:f>
        <x:v>n.a.</x:v>
      </x:c>
      <x:c r="J43" s="89" t="str">
        <x:f>IF(AND(AND(COUNT(F$7:F$12)=6,F$7&gt;=0,F$8&gt;=0,F$9&gt;-1,F$10&gt;=0,F$11&gt;=0,OR(F$12=0,F$12=1)),ISNUMBER(J42)),J42*((1+F$9)^(1/12)+F$10/12*F$12-F$11/12)+F$8,"n.a.")</x:f>
        <x:v>n.a.</x:v>
      </x:c>
      <x:c r="K43" s="89" t="str">
        <x:f>IF(AND(AND(COUNT(F$7:F$12)=6,F$7&gt;=0,F$8&gt;=0,F$9&gt;-1,F$10&gt;=0,F$11&gt;=0,OR(F$12=0,F$12=1)),COUNT(K42,J42)=2),K42+J42*F$10/12*(1-F$12),"n.a.")</x:f>
        <x:v>n.a.</x:v>
      </x:c>
      <x:c r="L43" s="89" t="str">
        <x:f>IF(AND(COUNT(F$7:F$12)=6,F$7&gt;=0,F$8&gt;=0,F$9&gt;-1,F$10&gt;=0,F$11&gt;=0,OR(F$12=0,F$12=1)),F$7+10*F$8,"n.a.")</x:f>
        <x:v>n.a.</x:v>
      </x:c>
    </x:row>
    <x:row r="44">
      <x:c r="C44" t="n">
        <x:v>11</x:v>
      </x:c>
      <x:c r="D44" s="89" t="str">
        <x:f>IF(AND(AND(COUNT(D$7:D$12)=6,D$7&gt;=0,D$8&gt;=0,D$9&gt;-1,D$10&gt;=0,D$11&gt;=0,OR(D$12=0,D$12=1)),ISNUMBER(D43)),D43*((1+D$9)^(1/12)+D$10/12*D$12-D$11/12)+D$8,"n.a.")</x:f>
        <x:v>n.a.</x:v>
      </x:c>
      <x:c r="E44" s="89" t="str">
        <x:f>IF(AND(AND(COUNT(D$7:D$12)=6,D$7&gt;=0,D$8&gt;=0,D$9&gt;-1,D$10&gt;=0,D$11&gt;=0,OR(D$12=0,D$12=1)),COUNT(E43,D43)=2),E43+D43*D$10/12*(1-D$12),"n.a.")</x:f>
        <x:v>n.a.</x:v>
      </x:c>
      <x:c r="F44" s="89" t="str">
        <x:f>IF(AND(COUNT(D$7:D$12)=6,D$7&gt;=0,D$8&gt;=0,D$9&gt;-1,D$10&gt;=0,D$11&gt;=0,OR(D$12=0,D$12=1)),D$7+11*D$8,"n.a.")</x:f>
        <x:v>n.a.</x:v>
      </x:c>
      <x:c r="G44" s="89" t="str">
        <x:f>IF(AND(AND(COUNT(E$7:E$12)=6,E$7&gt;=0,E$8&gt;=0,E$9&gt;-1,E$10&gt;=0,E$11&gt;=0,OR(E$12=0,E$12=1)),ISNUMBER(G43)),G43*((1+E$9)^(1/12)+E$10/12*E$12-E$11/12)+E$8,"n.a.")</x:f>
        <x:v>n.a.</x:v>
      </x:c>
      <x:c r="H44" s="89" t="str">
        <x:f>IF(AND(AND(COUNT(E$7:E$12)=6,E$7&gt;=0,E$8&gt;=0,E$9&gt;-1,E$10&gt;=0,E$11&gt;=0,OR(E$12=0,E$12=1)),COUNT(H43,G43)=2),H43+G43*E$10/12*(1-E$12),"n.a.")</x:f>
        <x:v>n.a.</x:v>
      </x:c>
      <x:c r="I44" s="89" t="str">
        <x:f>IF(AND(COUNT(E$7:E$12)=6,E$7&gt;=0,E$8&gt;=0,E$9&gt;-1,E$10&gt;=0,E$11&gt;=0,OR(E$12=0,E$12=1)),E$7+11*E$8,"n.a.")</x:f>
        <x:v>n.a.</x:v>
      </x:c>
      <x:c r="J44" s="89" t="str">
        <x:f>IF(AND(AND(COUNT(F$7:F$12)=6,F$7&gt;=0,F$8&gt;=0,F$9&gt;-1,F$10&gt;=0,F$11&gt;=0,OR(F$12=0,F$12=1)),ISNUMBER(J43)),J43*((1+F$9)^(1/12)+F$10/12*F$12-F$11/12)+F$8,"n.a.")</x:f>
        <x:v>n.a.</x:v>
      </x:c>
      <x:c r="K44" s="89" t="str">
        <x:f>IF(AND(AND(COUNT(F$7:F$12)=6,F$7&gt;=0,F$8&gt;=0,F$9&gt;-1,F$10&gt;=0,F$11&gt;=0,OR(F$12=0,F$12=1)),COUNT(K43,J43)=2),K43+J43*F$10/12*(1-F$12),"n.a.")</x:f>
        <x:v>n.a.</x:v>
      </x:c>
      <x:c r="L44" s="89" t="str">
        <x:f>IF(AND(COUNT(F$7:F$12)=6,F$7&gt;=0,F$8&gt;=0,F$9&gt;-1,F$10&gt;=0,F$11&gt;=0,OR(F$12=0,F$12=1)),F$7+11*F$8,"n.a.")</x:f>
        <x:v>n.a.</x:v>
      </x:c>
    </x:row>
    <x:row r="45">
      <x:c r="C45" t="n">
        <x:v>12</x:v>
      </x:c>
      <x:c r="D45" s="89" t="str">
        <x:f>IF(AND(AND(COUNT(D$7:D$12)=6,D$7&gt;=0,D$8&gt;=0,D$9&gt;-1,D$10&gt;=0,D$11&gt;=0,OR(D$12=0,D$12=1)),ISNUMBER(D44)),D44*((1+D$9)^(1/12)+D$10/12*D$12-D$11/12)+D$8,"n.a.")</x:f>
        <x:v>n.a.</x:v>
      </x:c>
      <x:c r="E45" s="89" t="str">
        <x:f>IF(AND(AND(COUNT(D$7:D$12)=6,D$7&gt;=0,D$8&gt;=0,D$9&gt;-1,D$10&gt;=0,D$11&gt;=0,OR(D$12=0,D$12=1)),COUNT(E44,D44)=2),E44+D44*D$10/12*(1-D$12),"n.a.")</x:f>
        <x:v>n.a.</x:v>
      </x:c>
      <x:c r="F45" s="89" t="str">
        <x:f>IF(AND(COUNT(D$7:D$12)=6,D$7&gt;=0,D$8&gt;=0,D$9&gt;-1,D$10&gt;=0,D$11&gt;=0,OR(D$12=0,D$12=1)),D$7+12*D$8,"n.a.")</x:f>
        <x:v>n.a.</x:v>
      </x:c>
      <x:c r="G45" s="89" t="str">
        <x:f>IF(AND(AND(COUNT(E$7:E$12)=6,E$7&gt;=0,E$8&gt;=0,E$9&gt;-1,E$10&gt;=0,E$11&gt;=0,OR(E$12=0,E$12=1)),ISNUMBER(G44)),G44*((1+E$9)^(1/12)+E$10/12*E$12-E$11/12)+E$8,"n.a.")</x:f>
        <x:v>n.a.</x:v>
      </x:c>
      <x:c r="H45" s="89" t="str">
        <x:f>IF(AND(AND(COUNT(E$7:E$12)=6,E$7&gt;=0,E$8&gt;=0,E$9&gt;-1,E$10&gt;=0,E$11&gt;=0,OR(E$12=0,E$12=1)),COUNT(H44,G44)=2),H44+G44*E$10/12*(1-E$12),"n.a.")</x:f>
        <x:v>n.a.</x:v>
      </x:c>
      <x:c r="I45" s="89" t="str">
        <x:f>IF(AND(COUNT(E$7:E$12)=6,E$7&gt;=0,E$8&gt;=0,E$9&gt;-1,E$10&gt;=0,E$11&gt;=0,OR(E$12=0,E$12=1)),E$7+12*E$8,"n.a.")</x:f>
        <x:v>n.a.</x:v>
      </x:c>
      <x:c r="J45" s="89" t="str">
        <x:f>IF(AND(AND(COUNT(F$7:F$12)=6,F$7&gt;=0,F$8&gt;=0,F$9&gt;-1,F$10&gt;=0,F$11&gt;=0,OR(F$12=0,F$12=1)),ISNUMBER(J44)),J44*((1+F$9)^(1/12)+F$10/12*F$12-F$11/12)+F$8,"n.a.")</x:f>
        <x:v>n.a.</x:v>
      </x:c>
      <x:c r="K45" s="89" t="str">
        <x:f>IF(AND(AND(COUNT(F$7:F$12)=6,F$7&gt;=0,F$8&gt;=0,F$9&gt;-1,F$10&gt;=0,F$11&gt;=0,OR(F$12=0,F$12=1)),COUNT(K44,J44)=2),K44+J44*F$10/12*(1-F$12),"n.a.")</x:f>
        <x:v>n.a.</x:v>
      </x:c>
      <x:c r="L45" s="89" t="str">
        <x:f>IF(AND(COUNT(F$7:F$12)=6,F$7&gt;=0,F$8&gt;=0,F$9&gt;-1,F$10&gt;=0,F$11&gt;=0,OR(F$12=0,F$12=1)),F$7+12*F$8,"n.a.")</x:f>
        <x:v>n.a.</x:v>
      </x:c>
    </x:row>
    <x:row r="46">
      <x:c r="C46" t="n">
        <x:v>13</x:v>
      </x:c>
      <x:c r="D46" s="89" t="str">
        <x:f>IF(AND(AND(COUNT(D$7:D$12)=6,D$7&gt;=0,D$8&gt;=0,D$9&gt;-1,D$10&gt;=0,D$11&gt;=0,OR(D$12=0,D$12=1)),ISNUMBER(D45)),D45*((1+D$9)^(1/12)+D$10/12*D$12-D$11/12)+D$8,"n.a.")</x:f>
        <x:v>n.a.</x:v>
      </x:c>
      <x:c r="E46" s="89" t="str">
        <x:f>IF(AND(AND(COUNT(D$7:D$12)=6,D$7&gt;=0,D$8&gt;=0,D$9&gt;-1,D$10&gt;=0,D$11&gt;=0,OR(D$12=0,D$12=1)),COUNT(E45,D45)=2),E45+D45*D$10/12*(1-D$12),"n.a.")</x:f>
        <x:v>n.a.</x:v>
      </x:c>
      <x:c r="F46" s="89" t="str">
        <x:f>IF(AND(COUNT(D$7:D$12)=6,D$7&gt;=0,D$8&gt;=0,D$9&gt;-1,D$10&gt;=0,D$11&gt;=0,OR(D$12=0,D$12=1)),D$7+13*D$8,"n.a.")</x:f>
        <x:v>n.a.</x:v>
      </x:c>
      <x:c r="G46" s="89" t="str">
        <x:f>IF(AND(AND(COUNT(E$7:E$12)=6,E$7&gt;=0,E$8&gt;=0,E$9&gt;-1,E$10&gt;=0,E$11&gt;=0,OR(E$12=0,E$12=1)),ISNUMBER(G45)),G45*((1+E$9)^(1/12)+E$10/12*E$12-E$11/12)+E$8,"n.a.")</x:f>
        <x:v>n.a.</x:v>
      </x:c>
      <x:c r="H46" s="89" t="str">
        <x:f>IF(AND(AND(COUNT(E$7:E$12)=6,E$7&gt;=0,E$8&gt;=0,E$9&gt;-1,E$10&gt;=0,E$11&gt;=0,OR(E$12=0,E$12=1)),COUNT(H45,G45)=2),H45+G45*E$10/12*(1-E$12),"n.a.")</x:f>
        <x:v>n.a.</x:v>
      </x:c>
      <x:c r="I46" s="89" t="str">
        <x:f>IF(AND(COUNT(E$7:E$12)=6,E$7&gt;=0,E$8&gt;=0,E$9&gt;-1,E$10&gt;=0,E$11&gt;=0,OR(E$12=0,E$12=1)),E$7+13*E$8,"n.a.")</x:f>
        <x:v>n.a.</x:v>
      </x:c>
      <x:c r="J46" s="89" t="str">
        <x:f>IF(AND(AND(COUNT(F$7:F$12)=6,F$7&gt;=0,F$8&gt;=0,F$9&gt;-1,F$10&gt;=0,F$11&gt;=0,OR(F$12=0,F$12=1)),ISNUMBER(J45)),J45*((1+F$9)^(1/12)+F$10/12*F$12-F$11/12)+F$8,"n.a.")</x:f>
        <x:v>n.a.</x:v>
      </x:c>
      <x:c r="K46" s="89" t="str">
        <x:f>IF(AND(AND(COUNT(F$7:F$12)=6,F$7&gt;=0,F$8&gt;=0,F$9&gt;-1,F$10&gt;=0,F$11&gt;=0,OR(F$12=0,F$12=1)),COUNT(K45,J45)=2),K45+J45*F$10/12*(1-F$12),"n.a.")</x:f>
        <x:v>n.a.</x:v>
      </x:c>
      <x:c r="L46" s="89" t="str">
        <x:f>IF(AND(COUNT(F$7:F$12)=6,F$7&gt;=0,F$8&gt;=0,F$9&gt;-1,F$10&gt;=0,F$11&gt;=0,OR(F$12=0,F$12=1)),F$7+13*F$8,"n.a.")</x:f>
        <x:v>n.a.</x:v>
      </x:c>
    </x:row>
    <x:row r="47">
      <x:c r="C47" t="n">
        <x:v>14</x:v>
      </x:c>
      <x:c r="D47" s="89" t="str">
        <x:f>IF(AND(AND(COUNT(D$7:D$12)=6,D$7&gt;=0,D$8&gt;=0,D$9&gt;-1,D$10&gt;=0,D$11&gt;=0,OR(D$12=0,D$12=1)),ISNUMBER(D46)),D46*((1+D$9)^(1/12)+D$10/12*D$12-D$11/12)+D$8,"n.a.")</x:f>
        <x:v>n.a.</x:v>
      </x:c>
      <x:c r="E47" s="89" t="str">
        <x:f>IF(AND(AND(COUNT(D$7:D$12)=6,D$7&gt;=0,D$8&gt;=0,D$9&gt;-1,D$10&gt;=0,D$11&gt;=0,OR(D$12=0,D$12=1)),COUNT(E46,D46)=2),E46+D46*D$10/12*(1-D$12),"n.a.")</x:f>
        <x:v>n.a.</x:v>
      </x:c>
      <x:c r="F47" s="89" t="str">
        <x:f>IF(AND(COUNT(D$7:D$12)=6,D$7&gt;=0,D$8&gt;=0,D$9&gt;-1,D$10&gt;=0,D$11&gt;=0,OR(D$12=0,D$12=1)),D$7+14*D$8,"n.a.")</x:f>
        <x:v>n.a.</x:v>
      </x:c>
      <x:c r="G47" s="89" t="str">
        <x:f>IF(AND(AND(COUNT(E$7:E$12)=6,E$7&gt;=0,E$8&gt;=0,E$9&gt;-1,E$10&gt;=0,E$11&gt;=0,OR(E$12=0,E$12=1)),ISNUMBER(G46)),G46*((1+E$9)^(1/12)+E$10/12*E$12-E$11/12)+E$8,"n.a.")</x:f>
        <x:v>n.a.</x:v>
      </x:c>
      <x:c r="H47" s="89" t="str">
        <x:f>IF(AND(AND(COUNT(E$7:E$12)=6,E$7&gt;=0,E$8&gt;=0,E$9&gt;-1,E$10&gt;=0,E$11&gt;=0,OR(E$12=0,E$12=1)),COUNT(H46,G46)=2),H46+G46*E$10/12*(1-E$12),"n.a.")</x:f>
        <x:v>n.a.</x:v>
      </x:c>
      <x:c r="I47" s="89" t="str">
        <x:f>IF(AND(COUNT(E$7:E$12)=6,E$7&gt;=0,E$8&gt;=0,E$9&gt;-1,E$10&gt;=0,E$11&gt;=0,OR(E$12=0,E$12=1)),E$7+14*E$8,"n.a.")</x:f>
        <x:v>n.a.</x:v>
      </x:c>
      <x:c r="J47" s="89" t="str">
        <x:f>IF(AND(AND(COUNT(F$7:F$12)=6,F$7&gt;=0,F$8&gt;=0,F$9&gt;-1,F$10&gt;=0,F$11&gt;=0,OR(F$12=0,F$12=1)),ISNUMBER(J46)),J46*((1+F$9)^(1/12)+F$10/12*F$12-F$11/12)+F$8,"n.a.")</x:f>
        <x:v>n.a.</x:v>
      </x:c>
      <x:c r="K47" s="89" t="str">
        <x:f>IF(AND(AND(COUNT(F$7:F$12)=6,F$7&gt;=0,F$8&gt;=0,F$9&gt;-1,F$10&gt;=0,F$11&gt;=0,OR(F$12=0,F$12=1)),COUNT(K46,J46)=2),K46+J46*F$10/12*(1-F$12),"n.a.")</x:f>
        <x:v>n.a.</x:v>
      </x:c>
      <x:c r="L47" s="89" t="str">
        <x:f>IF(AND(COUNT(F$7:F$12)=6,F$7&gt;=0,F$8&gt;=0,F$9&gt;-1,F$10&gt;=0,F$11&gt;=0,OR(F$12=0,F$12=1)),F$7+14*F$8,"n.a.")</x:f>
        <x:v>n.a.</x:v>
      </x:c>
    </x:row>
    <x:row r="48">
      <x:c r="C48" t="n">
        <x:v>15</x:v>
      </x:c>
      <x:c r="D48" s="89" t="str">
        <x:f>IF(AND(AND(COUNT(D$7:D$12)=6,D$7&gt;=0,D$8&gt;=0,D$9&gt;-1,D$10&gt;=0,D$11&gt;=0,OR(D$12=0,D$12=1)),ISNUMBER(D47)),D47*((1+D$9)^(1/12)+D$10/12*D$12-D$11/12)+D$8,"n.a.")</x:f>
        <x:v>n.a.</x:v>
      </x:c>
      <x:c r="E48" s="89" t="str">
        <x:f>IF(AND(AND(COUNT(D$7:D$12)=6,D$7&gt;=0,D$8&gt;=0,D$9&gt;-1,D$10&gt;=0,D$11&gt;=0,OR(D$12=0,D$12=1)),COUNT(E47,D47)=2),E47+D47*D$10/12*(1-D$12),"n.a.")</x:f>
        <x:v>n.a.</x:v>
      </x:c>
      <x:c r="F48" s="89" t="str">
        <x:f>IF(AND(COUNT(D$7:D$12)=6,D$7&gt;=0,D$8&gt;=0,D$9&gt;-1,D$10&gt;=0,D$11&gt;=0,OR(D$12=0,D$12=1)),D$7+15*D$8,"n.a.")</x:f>
        <x:v>n.a.</x:v>
      </x:c>
      <x:c r="G48" s="89" t="str">
        <x:f>IF(AND(AND(COUNT(E$7:E$12)=6,E$7&gt;=0,E$8&gt;=0,E$9&gt;-1,E$10&gt;=0,E$11&gt;=0,OR(E$12=0,E$12=1)),ISNUMBER(G47)),G47*((1+E$9)^(1/12)+E$10/12*E$12-E$11/12)+E$8,"n.a.")</x:f>
        <x:v>n.a.</x:v>
      </x:c>
      <x:c r="H48" s="89" t="str">
        <x:f>IF(AND(AND(COUNT(E$7:E$12)=6,E$7&gt;=0,E$8&gt;=0,E$9&gt;-1,E$10&gt;=0,E$11&gt;=0,OR(E$12=0,E$12=1)),COUNT(H47,G47)=2),H47+G47*E$10/12*(1-E$12),"n.a.")</x:f>
        <x:v>n.a.</x:v>
      </x:c>
      <x:c r="I48" s="89" t="str">
        <x:f>IF(AND(COUNT(E$7:E$12)=6,E$7&gt;=0,E$8&gt;=0,E$9&gt;-1,E$10&gt;=0,E$11&gt;=0,OR(E$12=0,E$12=1)),E$7+15*E$8,"n.a.")</x:f>
        <x:v>n.a.</x:v>
      </x:c>
      <x:c r="J48" s="89" t="str">
        <x:f>IF(AND(AND(COUNT(F$7:F$12)=6,F$7&gt;=0,F$8&gt;=0,F$9&gt;-1,F$10&gt;=0,F$11&gt;=0,OR(F$12=0,F$12=1)),ISNUMBER(J47)),J47*((1+F$9)^(1/12)+F$10/12*F$12-F$11/12)+F$8,"n.a.")</x:f>
        <x:v>n.a.</x:v>
      </x:c>
      <x:c r="K48" s="89" t="str">
        <x:f>IF(AND(AND(COUNT(F$7:F$12)=6,F$7&gt;=0,F$8&gt;=0,F$9&gt;-1,F$10&gt;=0,F$11&gt;=0,OR(F$12=0,F$12=1)),COUNT(K47,J47)=2),K47+J47*F$10/12*(1-F$12),"n.a.")</x:f>
        <x:v>n.a.</x:v>
      </x:c>
      <x:c r="L48" s="89" t="str">
        <x:f>IF(AND(COUNT(F$7:F$12)=6,F$7&gt;=0,F$8&gt;=0,F$9&gt;-1,F$10&gt;=0,F$11&gt;=0,OR(F$12=0,F$12=1)),F$7+15*F$8,"n.a.")</x:f>
        <x:v>n.a.</x:v>
      </x:c>
    </x:row>
    <x:row r="49">
      <x:c r="C49" t="n">
        <x:v>16</x:v>
      </x:c>
      <x:c r="D49" s="89" t="str">
        <x:f>IF(AND(AND(COUNT(D$7:D$12)=6,D$7&gt;=0,D$8&gt;=0,D$9&gt;-1,D$10&gt;=0,D$11&gt;=0,OR(D$12=0,D$12=1)),ISNUMBER(D48)),D48*((1+D$9)^(1/12)+D$10/12*D$12-D$11/12)+D$8,"n.a.")</x:f>
        <x:v>n.a.</x:v>
      </x:c>
      <x:c r="E49" s="89" t="str">
        <x:f>IF(AND(AND(COUNT(D$7:D$12)=6,D$7&gt;=0,D$8&gt;=0,D$9&gt;-1,D$10&gt;=0,D$11&gt;=0,OR(D$12=0,D$12=1)),COUNT(E48,D48)=2),E48+D48*D$10/12*(1-D$12),"n.a.")</x:f>
        <x:v>n.a.</x:v>
      </x:c>
      <x:c r="F49" s="89" t="str">
        <x:f>IF(AND(COUNT(D$7:D$12)=6,D$7&gt;=0,D$8&gt;=0,D$9&gt;-1,D$10&gt;=0,D$11&gt;=0,OR(D$12=0,D$12=1)),D$7+16*D$8,"n.a.")</x:f>
        <x:v>n.a.</x:v>
      </x:c>
      <x:c r="G49" s="89" t="str">
        <x:f>IF(AND(AND(COUNT(E$7:E$12)=6,E$7&gt;=0,E$8&gt;=0,E$9&gt;-1,E$10&gt;=0,E$11&gt;=0,OR(E$12=0,E$12=1)),ISNUMBER(G48)),G48*((1+E$9)^(1/12)+E$10/12*E$12-E$11/12)+E$8,"n.a.")</x:f>
        <x:v>n.a.</x:v>
      </x:c>
      <x:c r="H49" s="89" t="str">
        <x:f>IF(AND(AND(COUNT(E$7:E$12)=6,E$7&gt;=0,E$8&gt;=0,E$9&gt;-1,E$10&gt;=0,E$11&gt;=0,OR(E$12=0,E$12=1)),COUNT(H48,G48)=2),H48+G48*E$10/12*(1-E$12),"n.a.")</x:f>
        <x:v>n.a.</x:v>
      </x:c>
      <x:c r="I49" s="89" t="str">
        <x:f>IF(AND(COUNT(E$7:E$12)=6,E$7&gt;=0,E$8&gt;=0,E$9&gt;-1,E$10&gt;=0,E$11&gt;=0,OR(E$12=0,E$12=1)),E$7+16*E$8,"n.a.")</x:f>
        <x:v>n.a.</x:v>
      </x:c>
      <x:c r="J49" s="89" t="str">
        <x:f>IF(AND(AND(COUNT(F$7:F$12)=6,F$7&gt;=0,F$8&gt;=0,F$9&gt;-1,F$10&gt;=0,F$11&gt;=0,OR(F$12=0,F$12=1)),ISNUMBER(J48)),J48*((1+F$9)^(1/12)+F$10/12*F$12-F$11/12)+F$8,"n.a.")</x:f>
        <x:v>n.a.</x:v>
      </x:c>
      <x:c r="K49" s="89" t="str">
        <x:f>IF(AND(AND(COUNT(F$7:F$12)=6,F$7&gt;=0,F$8&gt;=0,F$9&gt;-1,F$10&gt;=0,F$11&gt;=0,OR(F$12=0,F$12=1)),COUNT(K48,J48)=2),K48+J48*F$10/12*(1-F$12),"n.a.")</x:f>
        <x:v>n.a.</x:v>
      </x:c>
      <x:c r="L49" s="89" t="str">
        <x:f>IF(AND(COUNT(F$7:F$12)=6,F$7&gt;=0,F$8&gt;=0,F$9&gt;-1,F$10&gt;=0,F$11&gt;=0,OR(F$12=0,F$12=1)),F$7+16*F$8,"n.a.")</x:f>
        <x:v>n.a.</x:v>
      </x:c>
    </x:row>
    <x:row r="50">
      <x:c r="C50" t="n">
        <x:v>17</x:v>
      </x:c>
      <x:c r="D50" s="89" t="str">
        <x:f>IF(AND(AND(COUNT(D$7:D$12)=6,D$7&gt;=0,D$8&gt;=0,D$9&gt;-1,D$10&gt;=0,D$11&gt;=0,OR(D$12=0,D$12=1)),ISNUMBER(D49)),D49*((1+D$9)^(1/12)+D$10/12*D$12-D$11/12)+D$8,"n.a.")</x:f>
        <x:v>n.a.</x:v>
      </x:c>
      <x:c r="E50" s="89" t="str">
        <x:f>IF(AND(AND(COUNT(D$7:D$12)=6,D$7&gt;=0,D$8&gt;=0,D$9&gt;-1,D$10&gt;=0,D$11&gt;=0,OR(D$12=0,D$12=1)),COUNT(E49,D49)=2),E49+D49*D$10/12*(1-D$12),"n.a.")</x:f>
        <x:v>n.a.</x:v>
      </x:c>
      <x:c r="F50" s="89" t="str">
        <x:f>IF(AND(COUNT(D$7:D$12)=6,D$7&gt;=0,D$8&gt;=0,D$9&gt;-1,D$10&gt;=0,D$11&gt;=0,OR(D$12=0,D$12=1)),D$7+17*D$8,"n.a.")</x:f>
        <x:v>n.a.</x:v>
      </x:c>
      <x:c r="G50" s="89" t="str">
        <x:f>IF(AND(AND(COUNT(E$7:E$12)=6,E$7&gt;=0,E$8&gt;=0,E$9&gt;-1,E$10&gt;=0,E$11&gt;=0,OR(E$12=0,E$12=1)),ISNUMBER(G49)),G49*((1+E$9)^(1/12)+E$10/12*E$12-E$11/12)+E$8,"n.a.")</x:f>
        <x:v>n.a.</x:v>
      </x:c>
      <x:c r="H50" s="89" t="str">
        <x:f>IF(AND(AND(COUNT(E$7:E$12)=6,E$7&gt;=0,E$8&gt;=0,E$9&gt;-1,E$10&gt;=0,E$11&gt;=0,OR(E$12=0,E$12=1)),COUNT(H49,G49)=2),H49+G49*E$10/12*(1-E$12),"n.a.")</x:f>
        <x:v>n.a.</x:v>
      </x:c>
      <x:c r="I50" s="89" t="str">
        <x:f>IF(AND(COUNT(E$7:E$12)=6,E$7&gt;=0,E$8&gt;=0,E$9&gt;-1,E$10&gt;=0,E$11&gt;=0,OR(E$12=0,E$12=1)),E$7+17*E$8,"n.a.")</x:f>
        <x:v>n.a.</x:v>
      </x:c>
      <x:c r="J50" s="89" t="str">
        <x:f>IF(AND(AND(COUNT(F$7:F$12)=6,F$7&gt;=0,F$8&gt;=0,F$9&gt;-1,F$10&gt;=0,F$11&gt;=0,OR(F$12=0,F$12=1)),ISNUMBER(J49)),J49*((1+F$9)^(1/12)+F$10/12*F$12-F$11/12)+F$8,"n.a.")</x:f>
        <x:v>n.a.</x:v>
      </x:c>
      <x:c r="K50" s="89" t="str">
        <x:f>IF(AND(AND(COUNT(F$7:F$12)=6,F$7&gt;=0,F$8&gt;=0,F$9&gt;-1,F$10&gt;=0,F$11&gt;=0,OR(F$12=0,F$12=1)),COUNT(K49,J49)=2),K49+J49*F$10/12*(1-F$12),"n.a.")</x:f>
        <x:v>n.a.</x:v>
      </x:c>
      <x:c r="L50" s="89" t="str">
        <x:f>IF(AND(COUNT(F$7:F$12)=6,F$7&gt;=0,F$8&gt;=0,F$9&gt;-1,F$10&gt;=0,F$11&gt;=0,OR(F$12=0,F$12=1)),F$7+17*F$8,"n.a.")</x:f>
        <x:v>n.a.</x:v>
      </x:c>
    </x:row>
    <x:row r="51">
      <x:c r="C51" t="n">
        <x:v>18</x:v>
      </x:c>
      <x:c r="D51" s="89" t="str">
        <x:f>IF(AND(AND(COUNT(D$7:D$12)=6,D$7&gt;=0,D$8&gt;=0,D$9&gt;-1,D$10&gt;=0,D$11&gt;=0,OR(D$12=0,D$12=1)),ISNUMBER(D50)),D50*((1+D$9)^(1/12)+D$10/12*D$12-D$11/12)+D$8,"n.a.")</x:f>
        <x:v>n.a.</x:v>
      </x:c>
      <x:c r="E51" s="89" t="str">
        <x:f>IF(AND(AND(COUNT(D$7:D$12)=6,D$7&gt;=0,D$8&gt;=0,D$9&gt;-1,D$10&gt;=0,D$11&gt;=0,OR(D$12=0,D$12=1)),COUNT(E50,D50)=2),E50+D50*D$10/12*(1-D$12),"n.a.")</x:f>
        <x:v>n.a.</x:v>
      </x:c>
      <x:c r="F51" s="89" t="str">
        <x:f>IF(AND(COUNT(D$7:D$12)=6,D$7&gt;=0,D$8&gt;=0,D$9&gt;-1,D$10&gt;=0,D$11&gt;=0,OR(D$12=0,D$12=1)),D$7+18*D$8,"n.a.")</x:f>
        <x:v>n.a.</x:v>
      </x:c>
      <x:c r="G51" s="89" t="str">
        <x:f>IF(AND(AND(COUNT(E$7:E$12)=6,E$7&gt;=0,E$8&gt;=0,E$9&gt;-1,E$10&gt;=0,E$11&gt;=0,OR(E$12=0,E$12=1)),ISNUMBER(G50)),G50*((1+E$9)^(1/12)+E$10/12*E$12-E$11/12)+E$8,"n.a.")</x:f>
        <x:v>n.a.</x:v>
      </x:c>
      <x:c r="H51" s="89" t="str">
        <x:f>IF(AND(AND(COUNT(E$7:E$12)=6,E$7&gt;=0,E$8&gt;=0,E$9&gt;-1,E$10&gt;=0,E$11&gt;=0,OR(E$12=0,E$12=1)),COUNT(H50,G50)=2),H50+G50*E$10/12*(1-E$12),"n.a.")</x:f>
        <x:v>n.a.</x:v>
      </x:c>
      <x:c r="I51" s="89" t="str">
        <x:f>IF(AND(COUNT(E$7:E$12)=6,E$7&gt;=0,E$8&gt;=0,E$9&gt;-1,E$10&gt;=0,E$11&gt;=0,OR(E$12=0,E$12=1)),E$7+18*E$8,"n.a.")</x:f>
        <x:v>n.a.</x:v>
      </x:c>
      <x:c r="J51" s="89" t="str">
        <x:f>IF(AND(AND(COUNT(F$7:F$12)=6,F$7&gt;=0,F$8&gt;=0,F$9&gt;-1,F$10&gt;=0,F$11&gt;=0,OR(F$12=0,F$12=1)),ISNUMBER(J50)),J50*((1+F$9)^(1/12)+F$10/12*F$12-F$11/12)+F$8,"n.a.")</x:f>
        <x:v>n.a.</x:v>
      </x:c>
      <x:c r="K51" s="89" t="str">
        <x:f>IF(AND(AND(COUNT(F$7:F$12)=6,F$7&gt;=0,F$8&gt;=0,F$9&gt;-1,F$10&gt;=0,F$11&gt;=0,OR(F$12=0,F$12=1)),COUNT(K50,J50)=2),K50+J50*F$10/12*(1-F$12),"n.a.")</x:f>
        <x:v>n.a.</x:v>
      </x:c>
      <x:c r="L51" s="89" t="str">
        <x:f>IF(AND(COUNT(F$7:F$12)=6,F$7&gt;=0,F$8&gt;=0,F$9&gt;-1,F$10&gt;=0,F$11&gt;=0,OR(F$12=0,F$12=1)),F$7+18*F$8,"n.a.")</x:f>
        <x:v>n.a.</x:v>
      </x:c>
    </x:row>
    <x:row r="52">
      <x:c r="C52" t="n">
        <x:v>19</x:v>
      </x:c>
      <x:c r="D52" s="89" t="str">
        <x:f>IF(AND(AND(COUNT(D$7:D$12)=6,D$7&gt;=0,D$8&gt;=0,D$9&gt;-1,D$10&gt;=0,D$11&gt;=0,OR(D$12=0,D$12=1)),ISNUMBER(D51)),D51*((1+D$9)^(1/12)+D$10/12*D$12-D$11/12)+D$8,"n.a.")</x:f>
        <x:v>n.a.</x:v>
      </x:c>
      <x:c r="E52" s="89" t="str">
        <x:f>IF(AND(AND(COUNT(D$7:D$12)=6,D$7&gt;=0,D$8&gt;=0,D$9&gt;-1,D$10&gt;=0,D$11&gt;=0,OR(D$12=0,D$12=1)),COUNT(E51,D51)=2),E51+D51*D$10/12*(1-D$12),"n.a.")</x:f>
        <x:v>n.a.</x:v>
      </x:c>
      <x:c r="F52" s="89" t="str">
        <x:f>IF(AND(COUNT(D$7:D$12)=6,D$7&gt;=0,D$8&gt;=0,D$9&gt;-1,D$10&gt;=0,D$11&gt;=0,OR(D$12=0,D$12=1)),D$7+19*D$8,"n.a.")</x:f>
        <x:v>n.a.</x:v>
      </x:c>
      <x:c r="G52" s="89" t="str">
        <x:f>IF(AND(AND(COUNT(E$7:E$12)=6,E$7&gt;=0,E$8&gt;=0,E$9&gt;-1,E$10&gt;=0,E$11&gt;=0,OR(E$12=0,E$12=1)),ISNUMBER(G51)),G51*((1+E$9)^(1/12)+E$10/12*E$12-E$11/12)+E$8,"n.a.")</x:f>
        <x:v>n.a.</x:v>
      </x:c>
      <x:c r="H52" s="89" t="str">
        <x:f>IF(AND(AND(COUNT(E$7:E$12)=6,E$7&gt;=0,E$8&gt;=0,E$9&gt;-1,E$10&gt;=0,E$11&gt;=0,OR(E$12=0,E$12=1)),COUNT(H51,G51)=2),H51+G51*E$10/12*(1-E$12),"n.a.")</x:f>
        <x:v>n.a.</x:v>
      </x:c>
      <x:c r="I52" s="89" t="str">
        <x:f>IF(AND(COUNT(E$7:E$12)=6,E$7&gt;=0,E$8&gt;=0,E$9&gt;-1,E$10&gt;=0,E$11&gt;=0,OR(E$12=0,E$12=1)),E$7+19*E$8,"n.a.")</x:f>
        <x:v>n.a.</x:v>
      </x:c>
      <x:c r="J52" s="89" t="str">
        <x:f>IF(AND(AND(COUNT(F$7:F$12)=6,F$7&gt;=0,F$8&gt;=0,F$9&gt;-1,F$10&gt;=0,F$11&gt;=0,OR(F$12=0,F$12=1)),ISNUMBER(J51)),J51*((1+F$9)^(1/12)+F$10/12*F$12-F$11/12)+F$8,"n.a.")</x:f>
        <x:v>n.a.</x:v>
      </x:c>
      <x:c r="K52" s="89" t="str">
        <x:f>IF(AND(AND(COUNT(F$7:F$12)=6,F$7&gt;=0,F$8&gt;=0,F$9&gt;-1,F$10&gt;=0,F$11&gt;=0,OR(F$12=0,F$12=1)),COUNT(K51,J51)=2),K51+J51*F$10/12*(1-F$12),"n.a.")</x:f>
        <x:v>n.a.</x:v>
      </x:c>
      <x:c r="L52" s="89" t="str">
        <x:f>IF(AND(COUNT(F$7:F$12)=6,F$7&gt;=0,F$8&gt;=0,F$9&gt;-1,F$10&gt;=0,F$11&gt;=0,OR(F$12=0,F$12=1)),F$7+19*F$8,"n.a.")</x:f>
        <x:v>n.a.</x:v>
      </x:c>
    </x:row>
    <x:row r="53">
      <x:c r="C53" t="n">
        <x:v>20</x:v>
      </x:c>
      <x:c r="D53" s="89" t="str">
        <x:f>IF(AND(AND(COUNT(D$7:D$12)=6,D$7&gt;=0,D$8&gt;=0,D$9&gt;-1,D$10&gt;=0,D$11&gt;=0,OR(D$12=0,D$12=1)),ISNUMBER(D52)),D52*((1+D$9)^(1/12)+D$10/12*D$12-D$11/12)+D$8,"n.a.")</x:f>
        <x:v>n.a.</x:v>
      </x:c>
      <x:c r="E53" s="89" t="str">
        <x:f>IF(AND(AND(COUNT(D$7:D$12)=6,D$7&gt;=0,D$8&gt;=0,D$9&gt;-1,D$10&gt;=0,D$11&gt;=0,OR(D$12=0,D$12=1)),COUNT(E52,D52)=2),E52+D52*D$10/12*(1-D$12),"n.a.")</x:f>
        <x:v>n.a.</x:v>
      </x:c>
      <x:c r="F53" s="89" t="str">
        <x:f>IF(AND(COUNT(D$7:D$12)=6,D$7&gt;=0,D$8&gt;=0,D$9&gt;-1,D$10&gt;=0,D$11&gt;=0,OR(D$12=0,D$12=1)),D$7+20*D$8,"n.a.")</x:f>
        <x:v>n.a.</x:v>
      </x:c>
      <x:c r="G53" s="89" t="str">
        <x:f>IF(AND(AND(COUNT(E$7:E$12)=6,E$7&gt;=0,E$8&gt;=0,E$9&gt;-1,E$10&gt;=0,E$11&gt;=0,OR(E$12=0,E$12=1)),ISNUMBER(G52)),G52*((1+E$9)^(1/12)+E$10/12*E$12-E$11/12)+E$8,"n.a.")</x:f>
        <x:v>n.a.</x:v>
      </x:c>
      <x:c r="H53" s="89" t="str">
        <x:f>IF(AND(AND(COUNT(E$7:E$12)=6,E$7&gt;=0,E$8&gt;=0,E$9&gt;-1,E$10&gt;=0,E$11&gt;=0,OR(E$12=0,E$12=1)),COUNT(H52,G52)=2),H52+G52*E$10/12*(1-E$12),"n.a.")</x:f>
        <x:v>n.a.</x:v>
      </x:c>
      <x:c r="I53" s="89" t="str">
        <x:f>IF(AND(COUNT(E$7:E$12)=6,E$7&gt;=0,E$8&gt;=0,E$9&gt;-1,E$10&gt;=0,E$11&gt;=0,OR(E$12=0,E$12=1)),E$7+20*E$8,"n.a.")</x:f>
        <x:v>n.a.</x:v>
      </x:c>
      <x:c r="J53" s="89" t="str">
        <x:f>IF(AND(AND(COUNT(F$7:F$12)=6,F$7&gt;=0,F$8&gt;=0,F$9&gt;-1,F$10&gt;=0,F$11&gt;=0,OR(F$12=0,F$12=1)),ISNUMBER(J52)),J52*((1+F$9)^(1/12)+F$10/12*F$12-F$11/12)+F$8,"n.a.")</x:f>
        <x:v>n.a.</x:v>
      </x:c>
      <x:c r="K53" s="89" t="str">
        <x:f>IF(AND(AND(COUNT(F$7:F$12)=6,F$7&gt;=0,F$8&gt;=0,F$9&gt;-1,F$10&gt;=0,F$11&gt;=0,OR(F$12=0,F$12=1)),COUNT(K52,J52)=2),K52+J52*F$10/12*(1-F$12),"n.a.")</x:f>
        <x:v>n.a.</x:v>
      </x:c>
      <x:c r="L53" s="89" t="str">
        <x:f>IF(AND(COUNT(F$7:F$12)=6,F$7&gt;=0,F$8&gt;=0,F$9&gt;-1,F$10&gt;=0,F$11&gt;=0,OR(F$12=0,F$12=1)),F$7+20*F$8,"n.a.")</x:f>
        <x:v>n.a.</x:v>
      </x:c>
    </x:row>
    <x:row r="54">
      <x:c r="C54" t="n">
        <x:v>21</x:v>
      </x:c>
      <x:c r="D54" s="89" t="str">
        <x:f>IF(AND(AND(COUNT(D$7:D$12)=6,D$7&gt;=0,D$8&gt;=0,D$9&gt;-1,D$10&gt;=0,D$11&gt;=0,OR(D$12=0,D$12=1)),ISNUMBER(D53)),D53*((1+D$9)^(1/12)+D$10/12*D$12-D$11/12)+D$8,"n.a.")</x:f>
        <x:v>n.a.</x:v>
      </x:c>
      <x:c r="E54" s="89" t="str">
        <x:f>IF(AND(AND(COUNT(D$7:D$12)=6,D$7&gt;=0,D$8&gt;=0,D$9&gt;-1,D$10&gt;=0,D$11&gt;=0,OR(D$12=0,D$12=1)),COUNT(E53,D53)=2),E53+D53*D$10/12*(1-D$12),"n.a.")</x:f>
        <x:v>n.a.</x:v>
      </x:c>
      <x:c r="F54" s="89" t="str">
        <x:f>IF(AND(COUNT(D$7:D$12)=6,D$7&gt;=0,D$8&gt;=0,D$9&gt;-1,D$10&gt;=0,D$11&gt;=0,OR(D$12=0,D$12=1)),D$7+21*D$8,"n.a.")</x:f>
        <x:v>n.a.</x:v>
      </x:c>
      <x:c r="G54" s="89" t="str">
        <x:f>IF(AND(AND(COUNT(E$7:E$12)=6,E$7&gt;=0,E$8&gt;=0,E$9&gt;-1,E$10&gt;=0,E$11&gt;=0,OR(E$12=0,E$12=1)),ISNUMBER(G53)),G53*((1+E$9)^(1/12)+E$10/12*E$12-E$11/12)+E$8,"n.a.")</x:f>
        <x:v>n.a.</x:v>
      </x:c>
      <x:c r="H54" s="89" t="str">
        <x:f>IF(AND(AND(COUNT(E$7:E$12)=6,E$7&gt;=0,E$8&gt;=0,E$9&gt;-1,E$10&gt;=0,E$11&gt;=0,OR(E$12=0,E$12=1)),COUNT(H53,G53)=2),H53+G53*E$10/12*(1-E$12),"n.a.")</x:f>
        <x:v>n.a.</x:v>
      </x:c>
      <x:c r="I54" s="89" t="str">
        <x:f>IF(AND(COUNT(E$7:E$12)=6,E$7&gt;=0,E$8&gt;=0,E$9&gt;-1,E$10&gt;=0,E$11&gt;=0,OR(E$12=0,E$12=1)),E$7+21*E$8,"n.a.")</x:f>
        <x:v>n.a.</x:v>
      </x:c>
      <x:c r="J54" s="89" t="str">
        <x:f>IF(AND(AND(COUNT(F$7:F$12)=6,F$7&gt;=0,F$8&gt;=0,F$9&gt;-1,F$10&gt;=0,F$11&gt;=0,OR(F$12=0,F$12=1)),ISNUMBER(J53)),J53*((1+F$9)^(1/12)+F$10/12*F$12-F$11/12)+F$8,"n.a.")</x:f>
        <x:v>n.a.</x:v>
      </x:c>
      <x:c r="K54" s="89" t="str">
        <x:f>IF(AND(AND(COUNT(F$7:F$12)=6,F$7&gt;=0,F$8&gt;=0,F$9&gt;-1,F$10&gt;=0,F$11&gt;=0,OR(F$12=0,F$12=1)),COUNT(K53,J53)=2),K53+J53*F$10/12*(1-F$12),"n.a.")</x:f>
        <x:v>n.a.</x:v>
      </x:c>
      <x:c r="L54" s="89" t="str">
        <x:f>IF(AND(COUNT(F$7:F$12)=6,F$7&gt;=0,F$8&gt;=0,F$9&gt;-1,F$10&gt;=0,F$11&gt;=0,OR(F$12=0,F$12=1)),F$7+21*F$8,"n.a.")</x:f>
        <x:v>n.a.</x:v>
      </x:c>
    </x:row>
    <x:row r="55">
      <x:c r="C55" t="n">
        <x:v>22</x:v>
      </x:c>
      <x:c r="D55" s="89" t="str">
        <x:f>IF(AND(AND(COUNT(D$7:D$12)=6,D$7&gt;=0,D$8&gt;=0,D$9&gt;-1,D$10&gt;=0,D$11&gt;=0,OR(D$12=0,D$12=1)),ISNUMBER(D54)),D54*((1+D$9)^(1/12)+D$10/12*D$12-D$11/12)+D$8,"n.a.")</x:f>
        <x:v>n.a.</x:v>
      </x:c>
      <x:c r="E55" s="89" t="str">
        <x:f>IF(AND(AND(COUNT(D$7:D$12)=6,D$7&gt;=0,D$8&gt;=0,D$9&gt;-1,D$10&gt;=0,D$11&gt;=0,OR(D$12=0,D$12=1)),COUNT(E54,D54)=2),E54+D54*D$10/12*(1-D$12),"n.a.")</x:f>
        <x:v>n.a.</x:v>
      </x:c>
      <x:c r="F55" s="89" t="str">
        <x:f>IF(AND(COUNT(D$7:D$12)=6,D$7&gt;=0,D$8&gt;=0,D$9&gt;-1,D$10&gt;=0,D$11&gt;=0,OR(D$12=0,D$12=1)),D$7+22*D$8,"n.a.")</x:f>
        <x:v>n.a.</x:v>
      </x:c>
      <x:c r="G55" s="89" t="str">
        <x:f>IF(AND(AND(COUNT(E$7:E$12)=6,E$7&gt;=0,E$8&gt;=0,E$9&gt;-1,E$10&gt;=0,E$11&gt;=0,OR(E$12=0,E$12=1)),ISNUMBER(G54)),G54*((1+E$9)^(1/12)+E$10/12*E$12-E$11/12)+E$8,"n.a.")</x:f>
        <x:v>n.a.</x:v>
      </x:c>
      <x:c r="H55" s="89" t="str">
        <x:f>IF(AND(AND(COUNT(E$7:E$12)=6,E$7&gt;=0,E$8&gt;=0,E$9&gt;-1,E$10&gt;=0,E$11&gt;=0,OR(E$12=0,E$12=1)),COUNT(H54,G54)=2),H54+G54*E$10/12*(1-E$12),"n.a.")</x:f>
        <x:v>n.a.</x:v>
      </x:c>
      <x:c r="I55" s="89" t="str">
        <x:f>IF(AND(COUNT(E$7:E$12)=6,E$7&gt;=0,E$8&gt;=0,E$9&gt;-1,E$10&gt;=0,E$11&gt;=0,OR(E$12=0,E$12=1)),E$7+22*E$8,"n.a.")</x:f>
        <x:v>n.a.</x:v>
      </x:c>
      <x:c r="J55" s="89" t="str">
        <x:f>IF(AND(AND(COUNT(F$7:F$12)=6,F$7&gt;=0,F$8&gt;=0,F$9&gt;-1,F$10&gt;=0,F$11&gt;=0,OR(F$12=0,F$12=1)),ISNUMBER(J54)),J54*((1+F$9)^(1/12)+F$10/12*F$12-F$11/12)+F$8,"n.a.")</x:f>
        <x:v>n.a.</x:v>
      </x:c>
      <x:c r="K55" s="89" t="str">
        <x:f>IF(AND(AND(COUNT(F$7:F$12)=6,F$7&gt;=0,F$8&gt;=0,F$9&gt;-1,F$10&gt;=0,F$11&gt;=0,OR(F$12=0,F$12=1)),COUNT(K54,J54)=2),K54+J54*F$10/12*(1-F$12),"n.a.")</x:f>
        <x:v>n.a.</x:v>
      </x:c>
      <x:c r="L55" s="89" t="str">
        <x:f>IF(AND(COUNT(F$7:F$12)=6,F$7&gt;=0,F$8&gt;=0,F$9&gt;-1,F$10&gt;=0,F$11&gt;=0,OR(F$12=0,F$12=1)),F$7+22*F$8,"n.a.")</x:f>
        <x:v>n.a.</x:v>
      </x:c>
    </x:row>
    <x:row r="56">
      <x:c r="C56" t="n">
        <x:v>23</x:v>
      </x:c>
      <x:c r="D56" s="89" t="str">
        <x:f>IF(AND(AND(COUNT(D$7:D$12)=6,D$7&gt;=0,D$8&gt;=0,D$9&gt;-1,D$10&gt;=0,D$11&gt;=0,OR(D$12=0,D$12=1)),ISNUMBER(D55)),D55*((1+D$9)^(1/12)+D$10/12*D$12-D$11/12)+D$8,"n.a.")</x:f>
        <x:v>n.a.</x:v>
      </x:c>
      <x:c r="E56" s="89" t="str">
        <x:f>IF(AND(AND(COUNT(D$7:D$12)=6,D$7&gt;=0,D$8&gt;=0,D$9&gt;-1,D$10&gt;=0,D$11&gt;=0,OR(D$12=0,D$12=1)),COUNT(E55,D55)=2),E55+D55*D$10/12*(1-D$12),"n.a.")</x:f>
        <x:v>n.a.</x:v>
      </x:c>
      <x:c r="F56" s="89" t="str">
        <x:f>IF(AND(COUNT(D$7:D$12)=6,D$7&gt;=0,D$8&gt;=0,D$9&gt;-1,D$10&gt;=0,D$11&gt;=0,OR(D$12=0,D$12=1)),D$7+23*D$8,"n.a.")</x:f>
        <x:v>n.a.</x:v>
      </x:c>
      <x:c r="G56" s="89" t="str">
        <x:f>IF(AND(AND(COUNT(E$7:E$12)=6,E$7&gt;=0,E$8&gt;=0,E$9&gt;-1,E$10&gt;=0,E$11&gt;=0,OR(E$12=0,E$12=1)),ISNUMBER(G55)),G55*((1+E$9)^(1/12)+E$10/12*E$12-E$11/12)+E$8,"n.a.")</x:f>
        <x:v>n.a.</x:v>
      </x:c>
      <x:c r="H56" s="89" t="str">
        <x:f>IF(AND(AND(COUNT(E$7:E$12)=6,E$7&gt;=0,E$8&gt;=0,E$9&gt;-1,E$10&gt;=0,E$11&gt;=0,OR(E$12=0,E$12=1)),COUNT(H55,G55)=2),H55+G55*E$10/12*(1-E$12),"n.a.")</x:f>
        <x:v>n.a.</x:v>
      </x:c>
      <x:c r="I56" s="89" t="str">
        <x:f>IF(AND(COUNT(E$7:E$12)=6,E$7&gt;=0,E$8&gt;=0,E$9&gt;-1,E$10&gt;=0,E$11&gt;=0,OR(E$12=0,E$12=1)),E$7+23*E$8,"n.a.")</x:f>
        <x:v>n.a.</x:v>
      </x:c>
      <x:c r="J56" s="89" t="str">
        <x:f>IF(AND(AND(COUNT(F$7:F$12)=6,F$7&gt;=0,F$8&gt;=0,F$9&gt;-1,F$10&gt;=0,F$11&gt;=0,OR(F$12=0,F$12=1)),ISNUMBER(J55)),J55*((1+F$9)^(1/12)+F$10/12*F$12-F$11/12)+F$8,"n.a.")</x:f>
        <x:v>n.a.</x:v>
      </x:c>
      <x:c r="K56" s="89" t="str">
        <x:f>IF(AND(AND(COUNT(F$7:F$12)=6,F$7&gt;=0,F$8&gt;=0,F$9&gt;-1,F$10&gt;=0,F$11&gt;=0,OR(F$12=0,F$12=1)),COUNT(K55,J55)=2),K55+J55*F$10/12*(1-F$12),"n.a.")</x:f>
        <x:v>n.a.</x:v>
      </x:c>
      <x:c r="L56" s="89" t="str">
        <x:f>IF(AND(COUNT(F$7:F$12)=6,F$7&gt;=0,F$8&gt;=0,F$9&gt;-1,F$10&gt;=0,F$11&gt;=0,OR(F$12=0,F$12=1)),F$7+23*F$8,"n.a.")</x:f>
        <x:v>n.a.</x:v>
      </x:c>
    </x:row>
    <x:row r="57">
      <x:c r="C57" t="n">
        <x:v>24</x:v>
      </x:c>
      <x:c r="D57" s="89" t="str">
        <x:f>IF(AND(AND(COUNT(D$7:D$12)=6,D$7&gt;=0,D$8&gt;=0,D$9&gt;-1,D$10&gt;=0,D$11&gt;=0,OR(D$12=0,D$12=1)),ISNUMBER(D56)),D56*((1+D$9)^(1/12)+D$10/12*D$12-D$11/12)+D$8,"n.a.")</x:f>
        <x:v>n.a.</x:v>
      </x:c>
      <x:c r="E57" s="89" t="str">
        <x:f>IF(AND(AND(COUNT(D$7:D$12)=6,D$7&gt;=0,D$8&gt;=0,D$9&gt;-1,D$10&gt;=0,D$11&gt;=0,OR(D$12=0,D$12=1)),COUNT(E56,D56)=2),E56+D56*D$10/12*(1-D$12),"n.a.")</x:f>
        <x:v>n.a.</x:v>
      </x:c>
      <x:c r="F57" s="89" t="str">
        <x:f>IF(AND(COUNT(D$7:D$12)=6,D$7&gt;=0,D$8&gt;=0,D$9&gt;-1,D$10&gt;=0,D$11&gt;=0,OR(D$12=0,D$12=1)),D$7+24*D$8,"n.a.")</x:f>
        <x:v>n.a.</x:v>
      </x:c>
      <x:c r="G57" s="89" t="str">
        <x:f>IF(AND(AND(COUNT(E$7:E$12)=6,E$7&gt;=0,E$8&gt;=0,E$9&gt;-1,E$10&gt;=0,E$11&gt;=0,OR(E$12=0,E$12=1)),ISNUMBER(G56)),G56*((1+E$9)^(1/12)+E$10/12*E$12-E$11/12)+E$8,"n.a.")</x:f>
        <x:v>n.a.</x:v>
      </x:c>
      <x:c r="H57" s="89" t="str">
        <x:f>IF(AND(AND(COUNT(E$7:E$12)=6,E$7&gt;=0,E$8&gt;=0,E$9&gt;-1,E$10&gt;=0,E$11&gt;=0,OR(E$12=0,E$12=1)),COUNT(H56,G56)=2),H56+G56*E$10/12*(1-E$12),"n.a.")</x:f>
        <x:v>n.a.</x:v>
      </x:c>
      <x:c r="I57" s="89" t="str">
        <x:f>IF(AND(COUNT(E$7:E$12)=6,E$7&gt;=0,E$8&gt;=0,E$9&gt;-1,E$10&gt;=0,E$11&gt;=0,OR(E$12=0,E$12=1)),E$7+24*E$8,"n.a.")</x:f>
        <x:v>n.a.</x:v>
      </x:c>
      <x:c r="J57" s="89" t="str">
        <x:f>IF(AND(AND(COUNT(F$7:F$12)=6,F$7&gt;=0,F$8&gt;=0,F$9&gt;-1,F$10&gt;=0,F$11&gt;=0,OR(F$12=0,F$12=1)),ISNUMBER(J56)),J56*((1+F$9)^(1/12)+F$10/12*F$12-F$11/12)+F$8,"n.a.")</x:f>
        <x:v>n.a.</x:v>
      </x:c>
      <x:c r="K57" s="89" t="str">
        <x:f>IF(AND(AND(COUNT(F$7:F$12)=6,F$7&gt;=0,F$8&gt;=0,F$9&gt;-1,F$10&gt;=0,F$11&gt;=0,OR(F$12=0,F$12=1)),COUNT(K56,J56)=2),K56+J56*F$10/12*(1-F$12),"n.a.")</x:f>
        <x:v>n.a.</x:v>
      </x:c>
      <x:c r="L57" s="89" t="str">
        <x:f>IF(AND(COUNT(F$7:F$12)=6,F$7&gt;=0,F$8&gt;=0,F$9&gt;-1,F$10&gt;=0,F$11&gt;=0,OR(F$12=0,F$12=1)),F$7+24*F$8,"n.a.")</x:f>
        <x:v>n.a.</x:v>
      </x:c>
    </x:row>
    <x:row r="58">
      <x:c r="C58" t="n">
        <x:v>25</x:v>
      </x:c>
      <x:c r="D58" s="89" t="str">
        <x:f>IF(AND(AND(COUNT(D$7:D$12)=6,D$7&gt;=0,D$8&gt;=0,D$9&gt;-1,D$10&gt;=0,D$11&gt;=0,OR(D$12=0,D$12=1)),ISNUMBER(D57)),D57*((1+D$9)^(1/12)+D$10/12*D$12-D$11/12)+D$8,"n.a.")</x:f>
        <x:v>n.a.</x:v>
      </x:c>
      <x:c r="E58" s="89" t="str">
        <x:f>IF(AND(AND(COUNT(D$7:D$12)=6,D$7&gt;=0,D$8&gt;=0,D$9&gt;-1,D$10&gt;=0,D$11&gt;=0,OR(D$12=0,D$12=1)),COUNT(E57,D57)=2),E57+D57*D$10/12*(1-D$12),"n.a.")</x:f>
        <x:v>n.a.</x:v>
      </x:c>
      <x:c r="F58" s="89" t="str">
        <x:f>IF(AND(COUNT(D$7:D$12)=6,D$7&gt;=0,D$8&gt;=0,D$9&gt;-1,D$10&gt;=0,D$11&gt;=0,OR(D$12=0,D$12=1)),D$7+25*D$8,"n.a.")</x:f>
        <x:v>n.a.</x:v>
      </x:c>
      <x:c r="G58" s="89" t="str">
        <x:f>IF(AND(AND(COUNT(E$7:E$12)=6,E$7&gt;=0,E$8&gt;=0,E$9&gt;-1,E$10&gt;=0,E$11&gt;=0,OR(E$12=0,E$12=1)),ISNUMBER(G57)),G57*((1+E$9)^(1/12)+E$10/12*E$12-E$11/12)+E$8,"n.a.")</x:f>
        <x:v>n.a.</x:v>
      </x:c>
      <x:c r="H58" s="89" t="str">
        <x:f>IF(AND(AND(COUNT(E$7:E$12)=6,E$7&gt;=0,E$8&gt;=0,E$9&gt;-1,E$10&gt;=0,E$11&gt;=0,OR(E$12=0,E$12=1)),COUNT(H57,G57)=2),H57+G57*E$10/12*(1-E$12),"n.a.")</x:f>
        <x:v>n.a.</x:v>
      </x:c>
      <x:c r="I58" s="89" t="str">
        <x:f>IF(AND(COUNT(E$7:E$12)=6,E$7&gt;=0,E$8&gt;=0,E$9&gt;-1,E$10&gt;=0,E$11&gt;=0,OR(E$12=0,E$12=1)),E$7+25*E$8,"n.a.")</x:f>
        <x:v>n.a.</x:v>
      </x:c>
      <x:c r="J58" s="89" t="str">
        <x:f>IF(AND(AND(COUNT(F$7:F$12)=6,F$7&gt;=0,F$8&gt;=0,F$9&gt;-1,F$10&gt;=0,F$11&gt;=0,OR(F$12=0,F$12=1)),ISNUMBER(J57)),J57*((1+F$9)^(1/12)+F$10/12*F$12-F$11/12)+F$8,"n.a.")</x:f>
        <x:v>n.a.</x:v>
      </x:c>
      <x:c r="K58" s="89" t="str">
        <x:f>IF(AND(AND(COUNT(F$7:F$12)=6,F$7&gt;=0,F$8&gt;=0,F$9&gt;-1,F$10&gt;=0,F$11&gt;=0,OR(F$12=0,F$12=1)),COUNT(K57,J57)=2),K57+J57*F$10/12*(1-F$12),"n.a.")</x:f>
        <x:v>n.a.</x:v>
      </x:c>
      <x:c r="L58" s="89" t="str">
        <x:f>IF(AND(COUNT(F$7:F$12)=6,F$7&gt;=0,F$8&gt;=0,F$9&gt;-1,F$10&gt;=0,F$11&gt;=0,OR(F$12=0,F$12=1)),F$7+25*F$8,"n.a.")</x:f>
        <x:v>n.a.</x:v>
      </x:c>
    </x:row>
    <x:row r="59">
      <x:c r="C59" t="n">
        <x:v>26</x:v>
      </x:c>
      <x:c r="D59" s="89" t="str">
        <x:f>IF(AND(AND(COUNT(D$7:D$12)=6,D$7&gt;=0,D$8&gt;=0,D$9&gt;-1,D$10&gt;=0,D$11&gt;=0,OR(D$12=0,D$12=1)),ISNUMBER(D58)),D58*((1+D$9)^(1/12)+D$10/12*D$12-D$11/12)+D$8,"n.a.")</x:f>
        <x:v>n.a.</x:v>
      </x:c>
      <x:c r="E59" s="89" t="str">
        <x:f>IF(AND(AND(COUNT(D$7:D$12)=6,D$7&gt;=0,D$8&gt;=0,D$9&gt;-1,D$10&gt;=0,D$11&gt;=0,OR(D$12=0,D$12=1)),COUNT(E58,D58)=2),E58+D58*D$10/12*(1-D$12),"n.a.")</x:f>
        <x:v>n.a.</x:v>
      </x:c>
      <x:c r="F59" s="89" t="str">
        <x:f>IF(AND(COUNT(D$7:D$12)=6,D$7&gt;=0,D$8&gt;=0,D$9&gt;-1,D$10&gt;=0,D$11&gt;=0,OR(D$12=0,D$12=1)),D$7+26*D$8,"n.a.")</x:f>
        <x:v>n.a.</x:v>
      </x:c>
      <x:c r="G59" s="89" t="str">
        <x:f>IF(AND(AND(COUNT(E$7:E$12)=6,E$7&gt;=0,E$8&gt;=0,E$9&gt;-1,E$10&gt;=0,E$11&gt;=0,OR(E$12=0,E$12=1)),ISNUMBER(G58)),G58*((1+E$9)^(1/12)+E$10/12*E$12-E$11/12)+E$8,"n.a.")</x:f>
        <x:v>n.a.</x:v>
      </x:c>
      <x:c r="H59" s="89" t="str">
        <x:f>IF(AND(AND(COUNT(E$7:E$12)=6,E$7&gt;=0,E$8&gt;=0,E$9&gt;-1,E$10&gt;=0,E$11&gt;=0,OR(E$12=0,E$12=1)),COUNT(H58,G58)=2),H58+G58*E$10/12*(1-E$12),"n.a.")</x:f>
        <x:v>n.a.</x:v>
      </x:c>
      <x:c r="I59" s="89" t="str">
        <x:f>IF(AND(COUNT(E$7:E$12)=6,E$7&gt;=0,E$8&gt;=0,E$9&gt;-1,E$10&gt;=0,E$11&gt;=0,OR(E$12=0,E$12=1)),E$7+26*E$8,"n.a.")</x:f>
        <x:v>n.a.</x:v>
      </x:c>
      <x:c r="J59" s="89" t="str">
        <x:f>IF(AND(AND(COUNT(F$7:F$12)=6,F$7&gt;=0,F$8&gt;=0,F$9&gt;-1,F$10&gt;=0,F$11&gt;=0,OR(F$12=0,F$12=1)),ISNUMBER(J58)),J58*((1+F$9)^(1/12)+F$10/12*F$12-F$11/12)+F$8,"n.a.")</x:f>
        <x:v>n.a.</x:v>
      </x:c>
      <x:c r="K59" s="89" t="str">
        <x:f>IF(AND(AND(COUNT(F$7:F$12)=6,F$7&gt;=0,F$8&gt;=0,F$9&gt;-1,F$10&gt;=0,F$11&gt;=0,OR(F$12=0,F$12=1)),COUNT(K58,J58)=2),K58+J58*F$10/12*(1-F$12),"n.a.")</x:f>
        <x:v>n.a.</x:v>
      </x:c>
      <x:c r="L59" s="89" t="str">
        <x:f>IF(AND(COUNT(F$7:F$12)=6,F$7&gt;=0,F$8&gt;=0,F$9&gt;-1,F$10&gt;=0,F$11&gt;=0,OR(F$12=0,F$12=1)),F$7+26*F$8,"n.a.")</x:f>
        <x:v>n.a.</x:v>
      </x:c>
    </x:row>
    <x:row r="60">
      <x:c r="C60" t="n">
        <x:v>27</x:v>
      </x:c>
      <x:c r="D60" s="89" t="str">
        <x:f>IF(AND(AND(COUNT(D$7:D$12)=6,D$7&gt;=0,D$8&gt;=0,D$9&gt;-1,D$10&gt;=0,D$11&gt;=0,OR(D$12=0,D$12=1)),ISNUMBER(D59)),D59*((1+D$9)^(1/12)+D$10/12*D$12-D$11/12)+D$8,"n.a.")</x:f>
        <x:v>n.a.</x:v>
      </x:c>
      <x:c r="E60" s="89" t="str">
        <x:f>IF(AND(AND(COUNT(D$7:D$12)=6,D$7&gt;=0,D$8&gt;=0,D$9&gt;-1,D$10&gt;=0,D$11&gt;=0,OR(D$12=0,D$12=1)),COUNT(E59,D59)=2),E59+D59*D$10/12*(1-D$12),"n.a.")</x:f>
        <x:v>n.a.</x:v>
      </x:c>
      <x:c r="F60" s="89" t="str">
        <x:f>IF(AND(COUNT(D$7:D$12)=6,D$7&gt;=0,D$8&gt;=0,D$9&gt;-1,D$10&gt;=0,D$11&gt;=0,OR(D$12=0,D$12=1)),D$7+27*D$8,"n.a.")</x:f>
        <x:v>n.a.</x:v>
      </x:c>
      <x:c r="G60" s="89" t="str">
        <x:f>IF(AND(AND(COUNT(E$7:E$12)=6,E$7&gt;=0,E$8&gt;=0,E$9&gt;-1,E$10&gt;=0,E$11&gt;=0,OR(E$12=0,E$12=1)),ISNUMBER(G59)),G59*((1+E$9)^(1/12)+E$10/12*E$12-E$11/12)+E$8,"n.a.")</x:f>
        <x:v>n.a.</x:v>
      </x:c>
      <x:c r="H60" s="89" t="str">
        <x:f>IF(AND(AND(COUNT(E$7:E$12)=6,E$7&gt;=0,E$8&gt;=0,E$9&gt;-1,E$10&gt;=0,E$11&gt;=0,OR(E$12=0,E$12=1)),COUNT(H59,G59)=2),H59+G59*E$10/12*(1-E$12),"n.a.")</x:f>
        <x:v>n.a.</x:v>
      </x:c>
      <x:c r="I60" s="89" t="str">
        <x:f>IF(AND(COUNT(E$7:E$12)=6,E$7&gt;=0,E$8&gt;=0,E$9&gt;-1,E$10&gt;=0,E$11&gt;=0,OR(E$12=0,E$12=1)),E$7+27*E$8,"n.a.")</x:f>
        <x:v>n.a.</x:v>
      </x:c>
      <x:c r="J60" s="89" t="str">
        <x:f>IF(AND(AND(COUNT(F$7:F$12)=6,F$7&gt;=0,F$8&gt;=0,F$9&gt;-1,F$10&gt;=0,F$11&gt;=0,OR(F$12=0,F$12=1)),ISNUMBER(J59)),J59*((1+F$9)^(1/12)+F$10/12*F$12-F$11/12)+F$8,"n.a.")</x:f>
        <x:v>n.a.</x:v>
      </x:c>
      <x:c r="K60" s="89" t="str">
        <x:f>IF(AND(AND(COUNT(F$7:F$12)=6,F$7&gt;=0,F$8&gt;=0,F$9&gt;-1,F$10&gt;=0,F$11&gt;=0,OR(F$12=0,F$12=1)),COUNT(K59,J59)=2),K59+J59*F$10/12*(1-F$12),"n.a.")</x:f>
        <x:v>n.a.</x:v>
      </x:c>
      <x:c r="L60" s="89" t="str">
        <x:f>IF(AND(COUNT(F$7:F$12)=6,F$7&gt;=0,F$8&gt;=0,F$9&gt;-1,F$10&gt;=0,F$11&gt;=0,OR(F$12=0,F$12=1)),F$7+27*F$8,"n.a.")</x:f>
        <x:v>n.a.</x:v>
      </x:c>
    </x:row>
    <x:row r="61">
      <x:c r="C61" t="n">
        <x:v>28</x:v>
      </x:c>
      <x:c r="D61" s="89" t="str">
        <x:f>IF(AND(AND(COUNT(D$7:D$12)=6,D$7&gt;=0,D$8&gt;=0,D$9&gt;-1,D$10&gt;=0,D$11&gt;=0,OR(D$12=0,D$12=1)),ISNUMBER(D60)),D60*((1+D$9)^(1/12)+D$10/12*D$12-D$11/12)+D$8,"n.a.")</x:f>
        <x:v>n.a.</x:v>
      </x:c>
      <x:c r="E61" s="89" t="str">
        <x:f>IF(AND(AND(COUNT(D$7:D$12)=6,D$7&gt;=0,D$8&gt;=0,D$9&gt;-1,D$10&gt;=0,D$11&gt;=0,OR(D$12=0,D$12=1)),COUNT(E60,D60)=2),E60+D60*D$10/12*(1-D$12),"n.a.")</x:f>
        <x:v>n.a.</x:v>
      </x:c>
      <x:c r="F61" s="89" t="str">
        <x:f>IF(AND(COUNT(D$7:D$12)=6,D$7&gt;=0,D$8&gt;=0,D$9&gt;-1,D$10&gt;=0,D$11&gt;=0,OR(D$12=0,D$12=1)),D$7+28*D$8,"n.a.")</x:f>
        <x:v>n.a.</x:v>
      </x:c>
      <x:c r="G61" s="89" t="str">
        <x:f>IF(AND(AND(COUNT(E$7:E$12)=6,E$7&gt;=0,E$8&gt;=0,E$9&gt;-1,E$10&gt;=0,E$11&gt;=0,OR(E$12=0,E$12=1)),ISNUMBER(G60)),G60*((1+E$9)^(1/12)+E$10/12*E$12-E$11/12)+E$8,"n.a.")</x:f>
        <x:v>n.a.</x:v>
      </x:c>
      <x:c r="H61" s="89" t="str">
        <x:f>IF(AND(AND(COUNT(E$7:E$12)=6,E$7&gt;=0,E$8&gt;=0,E$9&gt;-1,E$10&gt;=0,E$11&gt;=0,OR(E$12=0,E$12=1)),COUNT(H60,G60)=2),H60+G60*E$10/12*(1-E$12),"n.a.")</x:f>
        <x:v>n.a.</x:v>
      </x:c>
      <x:c r="I61" s="89" t="str">
        <x:f>IF(AND(COUNT(E$7:E$12)=6,E$7&gt;=0,E$8&gt;=0,E$9&gt;-1,E$10&gt;=0,E$11&gt;=0,OR(E$12=0,E$12=1)),E$7+28*E$8,"n.a.")</x:f>
        <x:v>n.a.</x:v>
      </x:c>
      <x:c r="J61" s="89" t="str">
        <x:f>IF(AND(AND(COUNT(F$7:F$12)=6,F$7&gt;=0,F$8&gt;=0,F$9&gt;-1,F$10&gt;=0,F$11&gt;=0,OR(F$12=0,F$12=1)),ISNUMBER(J60)),J60*((1+F$9)^(1/12)+F$10/12*F$12-F$11/12)+F$8,"n.a.")</x:f>
        <x:v>n.a.</x:v>
      </x:c>
      <x:c r="K61" s="89" t="str">
        <x:f>IF(AND(AND(COUNT(F$7:F$12)=6,F$7&gt;=0,F$8&gt;=0,F$9&gt;-1,F$10&gt;=0,F$11&gt;=0,OR(F$12=0,F$12=1)),COUNT(K60,J60)=2),K60+J60*F$10/12*(1-F$12),"n.a.")</x:f>
        <x:v>n.a.</x:v>
      </x:c>
      <x:c r="L61" s="89" t="str">
        <x:f>IF(AND(COUNT(F$7:F$12)=6,F$7&gt;=0,F$8&gt;=0,F$9&gt;-1,F$10&gt;=0,F$11&gt;=0,OR(F$12=0,F$12=1)),F$7+28*F$8,"n.a.")</x:f>
        <x:v>n.a.</x:v>
      </x:c>
    </x:row>
    <x:row r="62">
      <x:c r="C62" t="n">
        <x:v>29</x:v>
      </x:c>
      <x:c r="D62" s="89" t="str">
        <x:f>IF(AND(AND(COUNT(D$7:D$12)=6,D$7&gt;=0,D$8&gt;=0,D$9&gt;-1,D$10&gt;=0,D$11&gt;=0,OR(D$12=0,D$12=1)),ISNUMBER(D61)),D61*((1+D$9)^(1/12)+D$10/12*D$12-D$11/12)+D$8,"n.a.")</x:f>
        <x:v>n.a.</x:v>
      </x:c>
      <x:c r="E62" s="89" t="str">
        <x:f>IF(AND(AND(COUNT(D$7:D$12)=6,D$7&gt;=0,D$8&gt;=0,D$9&gt;-1,D$10&gt;=0,D$11&gt;=0,OR(D$12=0,D$12=1)),COUNT(E61,D61)=2),E61+D61*D$10/12*(1-D$12),"n.a.")</x:f>
        <x:v>n.a.</x:v>
      </x:c>
      <x:c r="F62" s="89" t="str">
        <x:f>IF(AND(COUNT(D$7:D$12)=6,D$7&gt;=0,D$8&gt;=0,D$9&gt;-1,D$10&gt;=0,D$11&gt;=0,OR(D$12=0,D$12=1)),D$7+29*D$8,"n.a.")</x:f>
        <x:v>n.a.</x:v>
      </x:c>
      <x:c r="G62" s="89" t="str">
        <x:f>IF(AND(AND(COUNT(E$7:E$12)=6,E$7&gt;=0,E$8&gt;=0,E$9&gt;-1,E$10&gt;=0,E$11&gt;=0,OR(E$12=0,E$12=1)),ISNUMBER(G61)),G61*((1+E$9)^(1/12)+E$10/12*E$12-E$11/12)+E$8,"n.a.")</x:f>
        <x:v>n.a.</x:v>
      </x:c>
      <x:c r="H62" s="89" t="str">
        <x:f>IF(AND(AND(COUNT(E$7:E$12)=6,E$7&gt;=0,E$8&gt;=0,E$9&gt;-1,E$10&gt;=0,E$11&gt;=0,OR(E$12=0,E$12=1)),COUNT(H61,G61)=2),H61+G61*E$10/12*(1-E$12),"n.a.")</x:f>
        <x:v>n.a.</x:v>
      </x:c>
      <x:c r="I62" s="89" t="str">
        <x:f>IF(AND(COUNT(E$7:E$12)=6,E$7&gt;=0,E$8&gt;=0,E$9&gt;-1,E$10&gt;=0,E$11&gt;=0,OR(E$12=0,E$12=1)),E$7+29*E$8,"n.a.")</x:f>
        <x:v>n.a.</x:v>
      </x:c>
      <x:c r="J62" s="89" t="str">
        <x:f>IF(AND(AND(COUNT(F$7:F$12)=6,F$7&gt;=0,F$8&gt;=0,F$9&gt;-1,F$10&gt;=0,F$11&gt;=0,OR(F$12=0,F$12=1)),ISNUMBER(J61)),J61*((1+F$9)^(1/12)+F$10/12*F$12-F$11/12)+F$8,"n.a.")</x:f>
        <x:v>n.a.</x:v>
      </x:c>
      <x:c r="K62" s="89" t="str">
        <x:f>IF(AND(AND(COUNT(F$7:F$12)=6,F$7&gt;=0,F$8&gt;=0,F$9&gt;-1,F$10&gt;=0,F$11&gt;=0,OR(F$12=0,F$12=1)),COUNT(K61,J61)=2),K61+J61*F$10/12*(1-F$12),"n.a.")</x:f>
        <x:v>n.a.</x:v>
      </x:c>
      <x:c r="L62" s="89" t="str">
        <x:f>IF(AND(COUNT(F$7:F$12)=6,F$7&gt;=0,F$8&gt;=0,F$9&gt;-1,F$10&gt;=0,F$11&gt;=0,OR(F$12=0,F$12=1)),F$7+29*F$8,"n.a.")</x:f>
        <x:v>n.a.</x:v>
      </x:c>
    </x:row>
    <x:row r="63">
      <x:c r="C63" t="n">
        <x:v>30</x:v>
      </x:c>
      <x:c r="D63" s="89" t="str">
        <x:f>IF(AND(AND(COUNT(D$7:D$12)=6,D$7&gt;=0,D$8&gt;=0,D$9&gt;-1,D$10&gt;=0,D$11&gt;=0,OR(D$12=0,D$12=1)),ISNUMBER(D62)),D62*((1+D$9)^(1/12)+D$10/12*D$12-D$11/12)+D$8,"n.a.")</x:f>
        <x:v>n.a.</x:v>
      </x:c>
      <x:c r="E63" s="89" t="str">
        <x:f>IF(AND(AND(COUNT(D$7:D$12)=6,D$7&gt;=0,D$8&gt;=0,D$9&gt;-1,D$10&gt;=0,D$11&gt;=0,OR(D$12=0,D$12=1)),COUNT(E62,D62)=2),E62+D62*D$10/12*(1-D$12),"n.a.")</x:f>
        <x:v>n.a.</x:v>
      </x:c>
      <x:c r="F63" s="89" t="str">
        <x:f>IF(AND(COUNT(D$7:D$12)=6,D$7&gt;=0,D$8&gt;=0,D$9&gt;-1,D$10&gt;=0,D$11&gt;=0,OR(D$12=0,D$12=1)),D$7+30*D$8,"n.a.")</x:f>
        <x:v>n.a.</x:v>
      </x:c>
      <x:c r="G63" s="89" t="str">
        <x:f>IF(AND(AND(COUNT(E$7:E$12)=6,E$7&gt;=0,E$8&gt;=0,E$9&gt;-1,E$10&gt;=0,E$11&gt;=0,OR(E$12=0,E$12=1)),ISNUMBER(G62)),G62*((1+E$9)^(1/12)+E$10/12*E$12-E$11/12)+E$8,"n.a.")</x:f>
        <x:v>n.a.</x:v>
      </x:c>
      <x:c r="H63" s="89" t="str">
        <x:f>IF(AND(AND(COUNT(E$7:E$12)=6,E$7&gt;=0,E$8&gt;=0,E$9&gt;-1,E$10&gt;=0,E$11&gt;=0,OR(E$12=0,E$12=1)),COUNT(H62,G62)=2),H62+G62*E$10/12*(1-E$12),"n.a.")</x:f>
        <x:v>n.a.</x:v>
      </x:c>
      <x:c r="I63" s="89" t="str">
        <x:f>IF(AND(COUNT(E$7:E$12)=6,E$7&gt;=0,E$8&gt;=0,E$9&gt;-1,E$10&gt;=0,E$11&gt;=0,OR(E$12=0,E$12=1)),E$7+30*E$8,"n.a.")</x:f>
        <x:v>n.a.</x:v>
      </x:c>
      <x:c r="J63" s="89" t="str">
        <x:f>IF(AND(AND(COUNT(F$7:F$12)=6,F$7&gt;=0,F$8&gt;=0,F$9&gt;-1,F$10&gt;=0,F$11&gt;=0,OR(F$12=0,F$12=1)),ISNUMBER(J62)),J62*((1+F$9)^(1/12)+F$10/12*F$12-F$11/12)+F$8,"n.a.")</x:f>
        <x:v>n.a.</x:v>
      </x:c>
      <x:c r="K63" s="89" t="str">
        <x:f>IF(AND(AND(COUNT(F$7:F$12)=6,F$7&gt;=0,F$8&gt;=0,F$9&gt;-1,F$10&gt;=0,F$11&gt;=0,OR(F$12=0,F$12=1)),COUNT(K62,J62)=2),K62+J62*F$10/12*(1-F$12),"n.a.")</x:f>
        <x:v>n.a.</x:v>
      </x:c>
      <x:c r="L63" s="89" t="str">
        <x:f>IF(AND(COUNT(F$7:F$12)=6,F$7&gt;=0,F$8&gt;=0,F$9&gt;-1,F$10&gt;=0,F$11&gt;=0,OR(F$12=0,F$12=1)),F$7+30*F$8,"n.a.")</x:f>
        <x:v>n.a.</x:v>
      </x:c>
    </x:row>
    <x:row r="64">
      <x:c r="C64" t="n">
        <x:v>31</x:v>
      </x:c>
      <x:c r="D64" s="89" t="str">
        <x:f>IF(AND(AND(COUNT(D$7:D$12)=6,D$7&gt;=0,D$8&gt;=0,D$9&gt;-1,D$10&gt;=0,D$11&gt;=0,OR(D$12=0,D$12=1)),ISNUMBER(D63)),D63*((1+D$9)^(1/12)+D$10/12*D$12-D$11/12)+D$8,"n.a.")</x:f>
        <x:v>n.a.</x:v>
      </x:c>
      <x:c r="E64" s="89" t="str">
        <x:f>IF(AND(AND(COUNT(D$7:D$12)=6,D$7&gt;=0,D$8&gt;=0,D$9&gt;-1,D$10&gt;=0,D$11&gt;=0,OR(D$12=0,D$12=1)),COUNT(E63,D63)=2),E63+D63*D$10/12*(1-D$12),"n.a.")</x:f>
        <x:v>n.a.</x:v>
      </x:c>
      <x:c r="F64" s="89" t="str">
        <x:f>IF(AND(COUNT(D$7:D$12)=6,D$7&gt;=0,D$8&gt;=0,D$9&gt;-1,D$10&gt;=0,D$11&gt;=0,OR(D$12=0,D$12=1)),D$7+31*D$8,"n.a.")</x:f>
        <x:v>n.a.</x:v>
      </x:c>
      <x:c r="G64" s="89" t="str">
        <x:f>IF(AND(AND(COUNT(E$7:E$12)=6,E$7&gt;=0,E$8&gt;=0,E$9&gt;-1,E$10&gt;=0,E$11&gt;=0,OR(E$12=0,E$12=1)),ISNUMBER(G63)),G63*((1+E$9)^(1/12)+E$10/12*E$12-E$11/12)+E$8,"n.a.")</x:f>
        <x:v>n.a.</x:v>
      </x:c>
      <x:c r="H64" s="89" t="str">
        <x:f>IF(AND(AND(COUNT(E$7:E$12)=6,E$7&gt;=0,E$8&gt;=0,E$9&gt;-1,E$10&gt;=0,E$11&gt;=0,OR(E$12=0,E$12=1)),COUNT(H63,G63)=2),H63+G63*E$10/12*(1-E$12),"n.a.")</x:f>
        <x:v>n.a.</x:v>
      </x:c>
      <x:c r="I64" s="89" t="str">
        <x:f>IF(AND(COUNT(E$7:E$12)=6,E$7&gt;=0,E$8&gt;=0,E$9&gt;-1,E$10&gt;=0,E$11&gt;=0,OR(E$12=0,E$12=1)),E$7+31*E$8,"n.a.")</x:f>
        <x:v>n.a.</x:v>
      </x:c>
      <x:c r="J64" s="89" t="str">
        <x:f>IF(AND(AND(COUNT(F$7:F$12)=6,F$7&gt;=0,F$8&gt;=0,F$9&gt;-1,F$10&gt;=0,F$11&gt;=0,OR(F$12=0,F$12=1)),ISNUMBER(J63)),J63*((1+F$9)^(1/12)+F$10/12*F$12-F$11/12)+F$8,"n.a.")</x:f>
        <x:v>n.a.</x:v>
      </x:c>
      <x:c r="K64" s="89" t="str">
        <x:f>IF(AND(AND(COUNT(F$7:F$12)=6,F$7&gt;=0,F$8&gt;=0,F$9&gt;-1,F$10&gt;=0,F$11&gt;=0,OR(F$12=0,F$12=1)),COUNT(K63,J63)=2),K63+J63*F$10/12*(1-F$12),"n.a.")</x:f>
        <x:v>n.a.</x:v>
      </x:c>
      <x:c r="L64" s="89" t="str">
        <x:f>IF(AND(COUNT(F$7:F$12)=6,F$7&gt;=0,F$8&gt;=0,F$9&gt;-1,F$10&gt;=0,F$11&gt;=0,OR(F$12=0,F$12=1)),F$7+31*F$8,"n.a.")</x:f>
        <x:v>n.a.</x:v>
      </x:c>
    </x:row>
    <x:row r="65">
      <x:c r="C65" t="n">
        <x:v>32</x:v>
      </x:c>
      <x:c r="D65" s="89" t="str">
        <x:f>IF(AND(AND(COUNT(D$7:D$12)=6,D$7&gt;=0,D$8&gt;=0,D$9&gt;-1,D$10&gt;=0,D$11&gt;=0,OR(D$12=0,D$12=1)),ISNUMBER(D64)),D64*((1+D$9)^(1/12)+D$10/12*D$12-D$11/12)+D$8,"n.a.")</x:f>
        <x:v>n.a.</x:v>
      </x:c>
      <x:c r="E65" s="89" t="str">
        <x:f>IF(AND(AND(COUNT(D$7:D$12)=6,D$7&gt;=0,D$8&gt;=0,D$9&gt;-1,D$10&gt;=0,D$11&gt;=0,OR(D$12=0,D$12=1)),COUNT(E64,D64)=2),E64+D64*D$10/12*(1-D$12),"n.a.")</x:f>
        <x:v>n.a.</x:v>
      </x:c>
      <x:c r="F65" s="89" t="str">
        <x:f>IF(AND(COUNT(D$7:D$12)=6,D$7&gt;=0,D$8&gt;=0,D$9&gt;-1,D$10&gt;=0,D$11&gt;=0,OR(D$12=0,D$12=1)),D$7+32*D$8,"n.a.")</x:f>
        <x:v>n.a.</x:v>
      </x:c>
      <x:c r="G65" s="89" t="str">
        <x:f>IF(AND(AND(COUNT(E$7:E$12)=6,E$7&gt;=0,E$8&gt;=0,E$9&gt;-1,E$10&gt;=0,E$11&gt;=0,OR(E$12=0,E$12=1)),ISNUMBER(G64)),G64*((1+E$9)^(1/12)+E$10/12*E$12-E$11/12)+E$8,"n.a.")</x:f>
        <x:v>n.a.</x:v>
      </x:c>
      <x:c r="H65" s="89" t="str">
        <x:f>IF(AND(AND(COUNT(E$7:E$12)=6,E$7&gt;=0,E$8&gt;=0,E$9&gt;-1,E$10&gt;=0,E$11&gt;=0,OR(E$12=0,E$12=1)),COUNT(H64,G64)=2),H64+G64*E$10/12*(1-E$12),"n.a.")</x:f>
        <x:v>n.a.</x:v>
      </x:c>
      <x:c r="I65" s="89" t="str">
        <x:f>IF(AND(COUNT(E$7:E$12)=6,E$7&gt;=0,E$8&gt;=0,E$9&gt;-1,E$10&gt;=0,E$11&gt;=0,OR(E$12=0,E$12=1)),E$7+32*E$8,"n.a.")</x:f>
        <x:v>n.a.</x:v>
      </x:c>
      <x:c r="J65" s="89" t="str">
        <x:f>IF(AND(AND(COUNT(F$7:F$12)=6,F$7&gt;=0,F$8&gt;=0,F$9&gt;-1,F$10&gt;=0,F$11&gt;=0,OR(F$12=0,F$12=1)),ISNUMBER(J64)),J64*((1+F$9)^(1/12)+F$10/12*F$12-F$11/12)+F$8,"n.a.")</x:f>
        <x:v>n.a.</x:v>
      </x:c>
      <x:c r="K65" s="89" t="str">
        <x:f>IF(AND(AND(COUNT(F$7:F$12)=6,F$7&gt;=0,F$8&gt;=0,F$9&gt;-1,F$10&gt;=0,F$11&gt;=0,OR(F$12=0,F$12=1)),COUNT(K64,J64)=2),K64+J64*F$10/12*(1-F$12),"n.a.")</x:f>
        <x:v>n.a.</x:v>
      </x:c>
      <x:c r="L65" s="89" t="str">
        <x:f>IF(AND(COUNT(F$7:F$12)=6,F$7&gt;=0,F$8&gt;=0,F$9&gt;-1,F$10&gt;=0,F$11&gt;=0,OR(F$12=0,F$12=1)),F$7+32*F$8,"n.a.")</x:f>
        <x:v>n.a.</x:v>
      </x:c>
    </x:row>
    <x:row r="66">
      <x:c r="C66" t="n">
        <x:v>33</x:v>
      </x:c>
      <x:c r="D66" s="89" t="str">
        <x:f>IF(AND(AND(COUNT(D$7:D$12)=6,D$7&gt;=0,D$8&gt;=0,D$9&gt;-1,D$10&gt;=0,D$11&gt;=0,OR(D$12=0,D$12=1)),ISNUMBER(D65)),D65*((1+D$9)^(1/12)+D$10/12*D$12-D$11/12)+D$8,"n.a.")</x:f>
        <x:v>n.a.</x:v>
      </x:c>
      <x:c r="E66" s="89" t="str">
        <x:f>IF(AND(AND(COUNT(D$7:D$12)=6,D$7&gt;=0,D$8&gt;=0,D$9&gt;-1,D$10&gt;=0,D$11&gt;=0,OR(D$12=0,D$12=1)),COUNT(E65,D65)=2),E65+D65*D$10/12*(1-D$12),"n.a.")</x:f>
        <x:v>n.a.</x:v>
      </x:c>
      <x:c r="F66" s="89" t="str">
        <x:f>IF(AND(COUNT(D$7:D$12)=6,D$7&gt;=0,D$8&gt;=0,D$9&gt;-1,D$10&gt;=0,D$11&gt;=0,OR(D$12=0,D$12=1)),D$7+33*D$8,"n.a.")</x:f>
        <x:v>n.a.</x:v>
      </x:c>
      <x:c r="G66" s="89" t="str">
        <x:f>IF(AND(AND(COUNT(E$7:E$12)=6,E$7&gt;=0,E$8&gt;=0,E$9&gt;-1,E$10&gt;=0,E$11&gt;=0,OR(E$12=0,E$12=1)),ISNUMBER(G65)),G65*((1+E$9)^(1/12)+E$10/12*E$12-E$11/12)+E$8,"n.a.")</x:f>
        <x:v>n.a.</x:v>
      </x:c>
      <x:c r="H66" s="89" t="str">
        <x:f>IF(AND(AND(COUNT(E$7:E$12)=6,E$7&gt;=0,E$8&gt;=0,E$9&gt;-1,E$10&gt;=0,E$11&gt;=0,OR(E$12=0,E$12=1)),COUNT(H65,G65)=2),H65+G65*E$10/12*(1-E$12),"n.a.")</x:f>
        <x:v>n.a.</x:v>
      </x:c>
      <x:c r="I66" s="89" t="str">
        <x:f>IF(AND(COUNT(E$7:E$12)=6,E$7&gt;=0,E$8&gt;=0,E$9&gt;-1,E$10&gt;=0,E$11&gt;=0,OR(E$12=0,E$12=1)),E$7+33*E$8,"n.a.")</x:f>
        <x:v>n.a.</x:v>
      </x:c>
      <x:c r="J66" s="89" t="str">
        <x:f>IF(AND(AND(COUNT(F$7:F$12)=6,F$7&gt;=0,F$8&gt;=0,F$9&gt;-1,F$10&gt;=0,F$11&gt;=0,OR(F$12=0,F$12=1)),ISNUMBER(J65)),J65*((1+F$9)^(1/12)+F$10/12*F$12-F$11/12)+F$8,"n.a.")</x:f>
        <x:v>n.a.</x:v>
      </x:c>
      <x:c r="K66" s="89" t="str">
        <x:f>IF(AND(AND(COUNT(F$7:F$12)=6,F$7&gt;=0,F$8&gt;=0,F$9&gt;-1,F$10&gt;=0,F$11&gt;=0,OR(F$12=0,F$12=1)),COUNT(K65,J65)=2),K65+J65*F$10/12*(1-F$12),"n.a.")</x:f>
        <x:v>n.a.</x:v>
      </x:c>
      <x:c r="L66" s="89" t="str">
        <x:f>IF(AND(COUNT(F$7:F$12)=6,F$7&gt;=0,F$8&gt;=0,F$9&gt;-1,F$10&gt;=0,F$11&gt;=0,OR(F$12=0,F$12=1)),F$7+33*F$8,"n.a.")</x:f>
        <x:v>n.a.</x:v>
      </x:c>
    </x:row>
    <x:row r="67">
      <x:c r="C67" t="n">
        <x:v>34</x:v>
      </x:c>
      <x:c r="D67" s="89" t="str">
        <x:f>IF(AND(AND(COUNT(D$7:D$12)=6,D$7&gt;=0,D$8&gt;=0,D$9&gt;-1,D$10&gt;=0,D$11&gt;=0,OR(D$12=0,D$12=1)),ISNUMBER(D66)),D66*((1+D$9)^(1/12)+D$10/12*D$12-D$11/12)+D$8,"n.a.")</x:f>
        <x:v>n.a.</x:v>
      </x:c>
      <x:c r="E67" s="89" t="str">
        <x:f>IF(AND(AND(COUNT(D$7:D$12)=6,D$7&gt;=0,D$8&gt;=0,D$9&gt;-1,D$10&gt;=0,D$11&gt;=0,OR(D$12=0,D$12=1)),COUNT(E66,D66)=2),E66+D66*D$10/12*(1-D$12),"n.a.")</x:f>
        <x:v>n.a.</x:v>
      </x:c>
      <x:c r="F67" s="89" t="str">
        <x:f>IF(AND(COUNT(D$7:D$12)=6,D$7&gt;=0,D$8&gt;=0,D$9&gt;-1,D$10&gt;=0,D$11&gt;=0,OR(D$12=0,D$12=1)),D$7+34*D$8,"n.a.")</x:f>
        <x:v>n.a.</x:v>
      </x:c>
      <x:c r="G67" s="89" t="str">
        <x:f>IF(AND(AND(COUNT(E$7:E$12)=6,E$7&gt;=0,E$8&gt;=0,E$9&gt;-1,E$10&gt;=0,E$11&gt;=0,OR(E$12=0,E$12=1)),ISNUMBER(G66)),G66*((1+E$9)^(1/12)+E$10/12*E$12-E$11/12)+E$8,"n.a.")</x:f>
        <x:v>n.a.</x:v>
      </x:c>
      <x:c r="H67" s="89" t="str">
        <x:f>IF(AND(AND(COUNT(E$7:E$12)=6,E$7&gt;=0,E$8&gt;=0,E$9&gt;-1,E$10&gt;=0,E$11&gt;=0,OR(E$12=0,E$12=1)),COUNT(H66,G66)=2),H66+G66*E$10/12*(1-E$12),"n.a.")</x:f>
        <x:v>n.a.</x:v>
      </x:c>
      <x:c r="I67" s="89" t="str">
        <x:f>IF(AND(COUNT(E$7:E$12)=6,E$7&gt;=0,E$8&gt;=0,E$9&gt;-1,E$10&gt;=0,E$11&gt;=0,OR(E$12=0,E$12=1)),E$7+34*E$8,"n.a.")</x:f>
        <x:v>n.a.</x:v>
      </x:c>
      <x:c r="J67" s="89" t="str">
        <x:f>IF(AND(AND(COUNT(F$7:F$12)=6,F$7&gt;=0,F$8&gt;=0,F$9&gt;-1,F$10&gt;=0,F$11&gt;=0,OR(F$12=0,F$12=1)),ISNUMBER(J66)),J66*((1+F$9)^(1/12)+F$10/12*F$12-F$11/12)+F$8,"n.a.")</x:f>
        <x:v>n.a.</x:v>
      </x:c>
      <x:c r="K67" s="89" t="str">
        <x:f>IF(AND(AND(COUNT(F$7:F$12)=6,F$7&gt;=0,F$8&gt;=0,F$9&gt;-1,F$10&gt;=0,F$11&gt;=0,OR(F$12=0,F$12=1)),COUNT(K66,J66)=2),K66+J66*F$10/12*(1-F$12),"n.a.")</x:f>
        <x:v>n.a.</x:v>
      </x:c>
      <x:c r="L67" s="89" t="str">
        <x:f>IF(AND(COUNT(F$7:F$12)=6,F$7&gt;=0,F$8&gt;=0,F$9&gt;-1,F$10&gt;=0,F$11&gt;=0,OR(F$12=0,F$12=1)),F$7+34*F$8,"n.a.")</x:f>
        <x:v>n.a.</x:v>
      </x:c>
    </x:row>
    <x:row r="68">
      <x:c r="C68" t="n">
        <x:v>35</x:v>
      </x:c>
      <x:c r="D68" s="89" t="str">
        <x:f>IF(AND(AND(COUNT(D$7:D$12)=6,D$7&gt;=0,D$8&gt;=0,D$9&gt;-1,D$10&gt;=0,D$11&gt;=0,OR(D$12=0,D$12=1)),ISNUMBER(D67)),D67*((1+D$9)^(1/12)+D$10/12*D$12-D$11/12)+D$8,"n.a.")</x:f>
        <x:v>n.a.</x:v>
      </x:c>
      <x:c r="E68" s="89" t="str">
        <x:f>IF(AND(AND(COUNT(D$7:D$12)=6,D$7&gt;=0,D$8&gt;=0,D$9&gt;-1,D$10&gt;=0,D$11&gt;=0,OR(D$12=0,D$12=1)),COUNT(E67,D67)=2),E67+D67*D$10/12*(1-D$12),"n.a.")</x:f>
        <x:v>n.a.</x:v>
      </x:c>
      <x:c r="F68" s="89" t="str">
        <x:f>IF(AND(COUNT(D$7:D$12)=6,D$7&gt;=0,D$8&gt;=0,D$9&gt;-1,D$10&gt;=0,D$11&gt;=0,OR(D$12=0,D$12=1)),D$7+35*D$8,"n.a.")</x:f>
        <x:v>n.a.</x:v>
      </x:c>
      <x:c r="G68" s="89" t="str">
        <x:f>IF(AND(AND(COUNT(E$7:E$12)=6,E$7&gt;=0,E$8&gt;=0,E$9&gt;-1,E$10&gt;=0,E$11&gt;=0,OR(E$12=0,E$12=1)),ISNUMBER(G67)),G67*((1+E$9)^(1/12)+E$10/12*E$12-E$11/12)+E$8,"n.a.")</x:f>
        <x:v>n.a.</x:v>
      </x:c>
      <x:c r="H68" s="89" t="str">
        <x:f>IF(AND(AND(COUNT(E$7:E$12)=6,E$7&gt;=0,E$8&gt;=0,E$9&gt;-1,E$10&gt;=0,E$11&gt;=0,OR(E$12=0,E$12=1)),COUNT(H67,G67)=2),H67+G67*E$10/12*(1-E$12),"n.a.")</x:f>
        <x:v>n.a.</x:v>
      </x:c>
      <x:c r="I68" s="89" t="str">
        <x:f>IF(AND(COUNT(E$7:E$12)=6,E$7&gt;=0,E$8&gt;=0,E$9&gt;-1,E$10&gt;=0,E$11&gt;=0,OR(E$12=0,E$12=1)),E$7+35*E$8,"n.a.")</x:f>
        <x:v>n.a.</x:v>
      </x:c>
      <x:c r="J68" s="89" t="str">
        <x:f>IF(AND(AND(COUNT(F$7:F$12)=6,F$7&gt;=0,F$8&gt;=0,F$9&gt;-1,F$10&gt;=0,F$11&gt;=0,OR(F$12=0,F$12=1)),ISNUMBER(J67)),J67*((1+F$9)^(1/12)+F$10/12*F$12-F$11/12)+F$8,"n.a.")</x:f>
        <x:v>n.a.</x:v>
      </x:c>
      <x:c r="K68" s="89" t="str">
        <x:f>IF(AND(AND(COUNT(F$7:F$12)=6,F$7&gt;=0,F$8&gt;=0,F$9&gt;-1,F$10&gt;=0,F$11&gt;=0,OR(F$12=0,F$12=1)),COUNT(K67,J67)=2),K67+J67*F$10/12*(1-F$12),"n.a.")</x:f>
        <x:v>n.a.</x:v>
      </x:c>
      <x:c r="L68" s="89" t="str">
        <x:f>IF(AND(COUNT(F$7:F$12)=6,F$7&gt;=0,F$8&gt;=0,F$9&gt;-1,F$10&gt;=0,F$11&gt;=0,OR(F$12=0,F$12=1)),F$7+35*F$8,"n.a.")</x:f>
        <x:v>n.a.</x:v>
      </x:c>
    </x:row>
    <x:row r="69">
      <x:c r="C69" t="n">
        <x:v>36</x:v>
      </x:c>
      <x:c r="D69" s="89" t="str">
        <x:f>IF(AND(AND(COUNT(D$7:D$12)=6,D$7&gt;=0,D$8&gt;=0,D$9&gt;-1,D$10&gt;=0,D$11&gt;=0,OR(D$12=0,D$12=1)),ISNUMBER(D68)),D68*((1+D$9)^(1/12)+D$10/12*D$12-D$11/12)+D$8,"n.a.")</x:f>
        <x:v>n.a.</x:v>
      </x:c>
      <x:c r="E69" s="89" t="str">
        <x:f>IF(AND(AND(COUNT(D$7:D$12)=6,D$7&gt;=0,D$8&gt;=0,D$9&gt;-1,D$10&gt;=0,D$11&gt;=0,OR(D$12=0,D$12=1)),COUNT(E68,D68)=2),E68+D68*D$10/12*(1-D$12),"n.a.")</x:f>
        <x:v>n.a.</x:v>
      </x:c>
      <x:c r="F69" s="89" t="str">
        <x:f>IF(AND(COUNT(D$7:D$12)=6,D$7&gt;=0,D$8&gt;=0,D$9&gt;-1,D$10&gt;=0,D$11&gt;=0,OR(D$12=0,D$12=1)),D$7+36*D$8,"n.a.")</x:f>
        <x:v>n.a.</x:v>
      </x:c>
      <x:c r="G69" s="89" t="str">
        <x:f>IF(AND(AND(COUNT(E$7:E$12)=6,E$7&gt;=0,E$8&gt;=0,E$9&gt;-1,E$10&gt;=0,E$11&gt;=0,OR(E$12=0,E$12=1)),ISNUMBER(G68)),G68*((1+E$9)^(1/12)+E$10/12*E$12-E$11/12)+E$8,"n.a.")</x:f>
        <x:v>n.a.</x:v>
      </x:c>
      <x:c r="H69" s="89" t="str">
        <x:f>IF(AND(AND(COUNT(E$7:E$12)=6,E$7&gt;=0,E$8&gt;=0,E$9&gt;-1,E$10&gt;=0,E$11&gt;=0,OR(E$12=0,E$12=1)),COUNT(H68,G68)=2),H68+G68*E$10/12*(1-E$12),"n.a.")</x:f>
        <x:v>n.a.</x:v>
      </x:c>
      <x:c r="I69" s="89" t="str">
        <x:f>IF(AND(COUNT(E$7:E$12)=6,E$7&gt;=0,E$8&gt;=0,E$9&gt;-1,E$10&gt;=0,E$11&gt;=0,OR(E$12=0,E$12=1)),E$7+36*E$8,"n.a.")</x:f>
        <x:v>n.a.</x:v>
      </x:c>
      <x:c r="J69" s="89" t="str">
        <x:f>IF(AND(AND(COUNT(F$7:F$12)=6,F$7&gt;=0,F$8&gt;=0,F$9&gt;-1,F$10&gt;=0,F$11&gt;=0,OR(F$12=0,F$12=1)),ISNUMBER(J68)),J68*((1+F$9)^(1/12)+F$10/12*F$12-F$11/12)+F$8,"n.a.")</x:f>
        <x:v>n.a.</x:v>
      </x:c>
      <x:c r="K69" s="89" t="str">
        <x:f>IF(AND(AND(COUNT(F$7:F$12)=6,F$7&gt;=0,F$8&gt;=0,F$9&gt;-1,F$10&gt;=0,F$11&gt;=0,OR(F$12=0,F$12=1)),COUNT(K68,J68)=2),K68+J68*F$10/12*(1-F$12),"n.a.")</x:f>
        <x:v>n.a.</x:v>
      </x:c>
      <x:c r="L69" s="89" t="str">
        <x:f>IF(AND(COUNT(F$7:F$12)=6,F$7&gt;=0,F$8&gt;=0,F$9&gt;-1,F$10&gt;=0,F$11&gt;=0,OR(F$12=0,F$12=1)),F$7+36*F$8,"n.a.")</x:f>
        <x:v>n.a.</x:v>
      </x:c>
    </x:row>
    <x:row r="70">
      <x:c r="C70" t="n">
        <x:v>37</x:v>
      </x:c>
      <x:c r="D70" s="89" t="str">
        <x:f>IF(AND(AND(COUNT(D$7:D$12)=6,D$7&gt;=0,D$8&gt;=0,D$9&gt;-1,D$10&gt;=0,D$11&gt;=0,OR(D$12=0,D$12=1)),ISNUMBER(D69)),D69*((1+D$9)^(1/12)+D$10/12*D$12-D$11/12)+D$8,"n.a.")</x:f>
        <x:v>n.a.</x:v>
      </x:c>
      <x:c r="E70" s="89" t="str">
        <x:f>IF(AND(AND(COUNT(D$7:D$12)=6,D$7&gt;=0,D$8&gt;=0,D$9&gt;-1,D$10&gt;=0,D$11&gt;=0,OR(D$12=0,D$12=1)),COUNT(E69,D69)=2),E69+D69*D$10/12*(1-D$12),"n.a.")</x:f>
        <x:v>n.a.</x:v>
      </x:c>
      <x:c r="F70" s="89" t="str">
        <x:f>IF(AND(COUNT(D$7:D$12)=6,D$7&gt;=0,D$8&gt;=0,D$9&gt;-1,D$10&gt;=0,D$11&gt;=0,OR(D$12=0,D$12=1)),D$7+37*D$8,"n.a.")</x:f>
        <x:v>n.a.</x:v>
      </x:c>
      <x:c r="G70" s="89" t="str">
        <x:f>IF(AND(AND(COUNT(E$7:E$12)=6,E$7&gt;=0,E$8&gt;=0,E$9&gt;-1,E$10&gt;=0,E$11&gt;=0,OR(E$12=0,E$12=1)),ISNUMBER(G69)),G69*((1+E$9)^(1/12)+E$10/12*E$12-E$11/12)+E$8,"n.a.")</x:f>
        <x:v>n.a.</x:v>
      </x:c>
      <x:c r="H70" s="89" t="str">
        <x:f>IF(AND(AND(COUNT(E$7:E$12)=6,E$7&gt;=0,E$8&gt;=0,E$9&gt;-1,E$10&gt;=0,E$11&gt;=0,OR(E$12=0,E$12=1)),COUNT(H69,G69)=2),H69+G69*E$10/12*(1-E$12),"n.a.")</x:f>
        <x:v>n.a.</x:v>
      </x:c>
      <x:c r="I70" s="89" t="str">
        <x:f>IF(AND(COUNT(E$7:E$12)=6,E$7&gt;=0,E$8&gt;=0,E$9&gt;-1,E$10&gt;=0,E$11&gt;=0,OR(E$12=0,E$12=1)),E$7+37*E$8,"n.a.")</x:f>
        <x:v>n.a.</x:v>
      </x:c>
      <x:c r="J70" s="89" t="str">
        <x:f>IF(AND(AND(COUNT(F$7:F$12)=6,F$7&gt;=0,F$8&gt;=0,F$9&gt;-1,F$10&gt;=0,F$11&gt;=0,OR(F$12=0,F$12=1)),ISNUMBER(J69)),J69*((1+F$9)^(1/12)+F$10/12*F$12-F$11/12)+F$8,"n.a.")</x:f>
        <x:v>n.a.</x:v>
      </x:c>
      <x:c r="K70" s="89" t="str">
        <x:f>IF(AND(AND(COUNT(F$7:F$12)=6,F$7&gt;=0,F$8&gt;=0,F$9&gt;-1,F$10&gt;=0,F$11&gt;=0,OR(F$12=0,F$12=1)),COUNT(K69,J69)=2),K69+J69*F$10/12*(1-F$12),"n.a.")</x:f>
        <x:v>n.a.</x:v>
      </x:c>
      <x:c r="L70" s="89" t="str">
        <x:f>IF(AND(COUNT(F$7:F$12)=6,F$7&gt;=0,F$8&gt;=0,F$9&gt;-1,F$10&gt;=0,F$11&gt;=0,OR(F$12=0,F$12=1)),F$7+37*F$8,"n.a.")</x:f>
        <x:v>n.a.</x:v>
      </x:c>
    </x:row>
    <x:row r="71">
      <x:c r="C71" t="n">
        <x:v>38</x:v>
      </x:c>
      <x:c r="D71" s="89" t="str">
        <x:f>IF(AND(AND(COUNT(D$7:D$12)=6,D$7&gt;=0,D$8&gt;=0,D$9&gt;-1,D$10&gt;=0,D$11&gt;=0,OR(D$12=0,D$12=1)),ISNUMBER(D70)),D70*((1+D$9)^(1/12)+D$10/12*D$12-D$11/12)+D$8,"n.a.")</x:f>
        <x:v>n.a.</x:v>
      </x:c>
      <x:c r="E71" s="89" t="str">
        <x:f>IF(AND(AND(COUNT(D$7:D$12)=6,D$7&gt;=0,D$8&gt;=0,D$9&gt;-1,D$10&gt;=0,D$11&gt;=0,OR(D$12=0,D$12=1)),COUNT(E70,D70)=2),E70+D70*D$10/12*(1-D$12),"n.a.")</x:f>
        <x:v>n.a.</x:v>
      </x:c>
      <x:c r="F71" s="89" t="str">
        <x:f>IF(AND(COUNT(D$7:D$12)=6,D$7&gt;=0,D$8&gt;=0,D$9&gt;-1,D$10&gt;=0,D$11&gt;=0,OR(D$12=0,D$12=1)),D$7+38*D$8,"n.a.")</x:f>
        <x:v>n.a.</x:v>
      </x:c>
      <x:c r="G71" s="89" t="str">
        <x:f>IF(AND(AND(COUNT(E$7:E$12)=6,E$7&gt;=0,E$8&gt;=0,E$9&gt;-1,E$10&gt;=0,E$11&gt;=0,OR(E$12=0,E$12=1)),ISNUMBER(G70)),G70*((1+E$9)^(1/12)+E$10/12*E$12-E$11/12)+E$8,"n.a.")</x:f>
        <x:v>n.a.</x:v>
      </x:c>
      <x:c r="H71" s="89" t="str">
        <x:f>IF(AND(AND(COUNT(E$7:E$12)=6,E$7&gt;=0,E$8&gt;=0,E$9&gt;-1,E$10&gt;=0,E$11&gt;=0,OR(E$12=0,E$12=1)),COUNT(H70,G70)=2),H70+G70*E$10/12*(1-E$12),"n.a.")</x:f>
        <x:v>n.a.</x:v>
      </x:c>
      <x:c r="I71" s="89" t="str">
        <x:f>IF(AND(COUNT(E$7:E$12)=6,E$7&gt;=0,E$8&gt;=0,E$9&gt;-1,E$10&gt;=0,E$11&gt;=0,OR(E$12=0,E$12=1)),E$7+38*E$8,"n.a.")</x:f>
        <x:v>n.a.</x:v>
      </x:c>
      <x:c r="J71" s="89" t="str">
        <x:f>IF(AND(AND(COUNT(F$7:F$12)=6,F$7&gt;=0,F$8&gt;=0,F$9&gt;-1,F$10&gt;=0,F$11&gt;=0,OR(F$12=0,F$12=1)),ISNUMBER(J70)),J70*((1+F$9)^(1/12)+F$10/12*F$12-F$11/12)+F$8,"n.a.")</x:f>
        <x:v>n.a.</x:v>
      </x:c>
      <x:c r="K71" s="89" t="str">
        <x:f>IF(AND(AND(COUNT(F$7:F$12)=6,F$7&gt;=0,F$8&gt;=0,F$9&gt;-1,F$10&gt;=0,F$11&gt;=0,OR(F$12=0,F$12=1)),COUNT(K70,J70)=2),K70+J70*F$10/12*(1-F$12),"n.a.")</x:f>
        <x:v>n.a.</x:v>
      </x:c>
      <x:c r="L71" s="89" t="str">
        <x:f>IF(AND(COUNT(F$7:F$12)=6,F$7&gt;=0,F$8&gt;=0,F$9&gt;-1,F$10&gt;=0,F$11&gt;=0,OR(F$12=0,F$12=1)),F$7+38*F$8,"n.a.")</x:f>
        <x:v>n.a.</x:v>
      </x:c>
    </x:row>
    <x:row r="72">
      <x:c r="C72" t="n">
        <x:v>39</x:v>
      </x:c>
      <x:c r="D72" s="89" t="str">
        <x:f>IF(AND(AND(COUNT(D$7:D$12)=6,D$7&gt;=0,D$8&gt;=0,D$9&gt;-1,D$10&gt;=0,D$11&gt;=0,OR(D$12=0,D$12=1)),ISNUMBER(D71)),D71*((1+D$9)^(1/12)+D$10/12*D$12-D$11/12)+D$8,"n.a.")</x:f>
        <x:v>n.a.</x:v>
      </x:c>
      <x:c r="E72" s="89" t="str">
        <x:f>IF(AND(AND(COUNT(D$7:D$12)=6,D$7&gt;=0,D$8&gt;=0,D$9&gt;-1,D$10&gt;=0,D$11&gt;=0,OR(D$12=0,D$12=1)),COUNT(E71,D71)=2),E71+D71*D$10/12*(1-D$12),"n.a.")</x:f>
        <x:v>n.a.</x:v>
      </x:c>
      <x:c r="F72" s="89" t="str">
        <x:f>IF(AND(COUNT(D$7:D$12)=6,D$7&gt;=0,D$8&gt;=0,D$9&gt;-1,D$10&gt;=0,D$11&gt;=0,OR(D$12=0,D$12=1)),D$7+39*D$8,"n.a.")</x:f>
        <x:v>n.a.</x:v>
      </x:c>
      <x:c r="G72" s="89" t="str">
        <x:f>IF(AND(AND(COUNT(E$7:E$12)=6,E$7&gt;=0,E$8&gt;=0,E$9&gt;-1,E$10&gt;=0,E$11&gt;=0,OR(E$12=0,E$12=1)),ISNUMBER(G71)),G71*((1+E$9)^(1/12)+E$10/12*E$12-E$11/12)+E$8,"n.a.")</x:f>
        <x:v>n.a.</x:v>
      </x:c>
      <x:c r="H72" s="89" t="str">
        <x:f>IF(AND(AND(COUNT(E$7:E$12)=6,E$7&gt;=0,E$8&gt;=0,E$9&gt;-1,E$10&gt;=0,E$11&gt;=0,OR(E$12=0,E$12=1)),COUNT(H71,G71)=2),H71+G71*E$10/12*(1-E$12),"n.a.")</x:f>
        <x:v>n.a.</x:v>
      </x:c>
      <x:c r="I72" s="89" t="str">
        <x:f>IF(AND(COUNT(E$7:E$12)=6,E$7&gt;=0,E$8&gt;=0,E$9&gt;-1,E$10&gt;=0,E$11&gt;=0,OR(E$12=0,E$12=1)),E$7+39*E$8,"n.a.")</x:f>
        <x:v>n.a.</x:v>
      </x:c>
      <x:c r="J72" s="89" t="str">
        <x:f>IF(AND(AND(COUNT(F$7:F$12)=6,F$7&gt;=0,F$8&gt;=0,F$9&gt;-1,F$10&gt;=0,F$11&gt;=0,OR(F$12=0,F$12=1)),ISNUMBER(J71)),J71*((1+F$9)^(1/12)+F$10/12*F$12-F$11/12)+F$8,"n.a.")</x:f>
        <x:v>n.a.</x:v>
      </x:c>
      <x:c r="K72" s="89" t="str">
        <x:f>IF(AND(AND(COUNT(F$7:F$12)=6,F$7&gt;=0,F$8&gt;=0,F$9&gt;-1,F$10&gt;=0,F$11&gt;=0,OR(F$12=0,F$12=1)),COUNT(K71,J71)=2),K71+J71*F$10/12*(1-F$12),"n.a.")</x:f>
        <x:v>n.a.</x:v>
      </x:c>
      <x:c r="L72" s="89" t="str">
        <x:f>IF(AND(COUNT(F$7:F$12)=6,F$7&gt;=0,F$8&gt;=0,F$9&gt;-1,F$10&gt;=0,F$11&gt;=0,OR(F$12=0,F$12=1)),F$7+39*F$8,"n.a.")</x:f>
        <x:v>n.a.</x:v>
      </x:c>
    </x:row>
    <x:row r="73">
      <x:c r="C73" t="n">
        <x:v>40</x:v>
      </x:c>
      <x:c r="D73" s="89" t="str">
        <x:f>IF(AND(AND(COUNT(D$7:D$12)=6,D$7&gt;=0,D$8&gt;=0,D$9&gt;-1,D$10&gt;=0,D$11&gt;=0,OR(D$12=0,D$12=1)),ISNUMBER(D72)),D72*((1+D$9)^(1/12)+D$10/12*D$12-D$11/12)+D$8,"n.a.")</x:f>
        <x:v>n.a.</x:v>
      </x:c>
      <x:c r="E73" s="89" t="str">
        <x:f>IF(AND(AND(COUNT(D$7:D$12)=6,D$7&gt;=0,D$8&gt;=0,D$9&gt;-1,D$10&gt;=0,D$11&gt;=0,OR(D$12=0,D$12=1)),COUNT(E72,D72)=2),E72+D72*D$10/12*(1-D$12),"n.a.")</x:f>
        <x:v>n.a.</x:v>
      </x:c>
      <x:c r="F73" s="89" t="str">
        <x:f>IF(AND(COUNT(D$7:D$12)=6,D$7&gt;=0,D$8&gt;=0,D$9&gt;-1,D$10&gt;=0,D$11&gt;=0,OR(D$12=0,D$12=1)),D$7+40*D$8,"n.a.")</x:f>
        <x:v>n.a.</x:v>
      </x:c>
      <x:c r="G73" s="89" t="str">
        <x:f>IF(AND(AND(COUNT(E$7:E$12)=6,E$7&gt;=0,E$8&gt;=0,E$9&gt;-1,E$10&gt;=0,E$11&gt;=0,OR(E$12=0,E$12=1)),ISNUMBER(G72)),G72*((1+E$9)^(1/12)+E$10/12*E$12-E$11/12)+E$8,"n.a.")</x:f>
        <x:v>n.a.</x:v>
      </x:c>
      <x:c r="H73" s="89" t="str">
        <x:f>IF(AND(AND(COUNT(E$7:E$12)=6,E$7&gt;=0,E$8&gt;=0,E$9&gt;-1,E$10&gt;=0,E$11&gt;=0,OR(E$12=0,E$12=1)),COUNT(H72,G72)=2),H72+G72*E$10/12*(1-E$12),"n.a.")</x:f>
        <x:v>n.a.</x:v>
      </x:c>
      <x:c r="I73" s="89" t="str">
        <x:f>IF(AND(COUNT(E$7:E$12)=6,E$7&gt;=0,E$8&gt;=0,E$9&gt;-1,E$10&gt;=0,E$11&gt;=0,OR(E$12=0,E$12=1)),E$7+40*E$8,"n.a.")</x:f>
        <x:v>n.a.</x:v>
      </x:c>
      <x:c r="J73" s="89" t="str">
        <x:f>IF(AND(AND(COUNT(F$7:F$12)=6,F$7&gt;=0,F$8&gt;=0,F$9&gt;-1,F$10&gt;=0,F$11&gt;=0,OR(F$12=0,F$12=1)),ISNUMBER(J72)),J72*((1+F$9)^(1/12)+F$10/12*F$12-F$11/12)+F$8,"n.a.")</x:f>
        <x:v>n.a.</x:v>
      </x:c>
      <x:c r="K73" s="89" t="str">
        <x:f>IF(AND(AND(COUNT(F$7:F$12)=6,F$7&gt;=0,F$8&gt;=0,F$9&gt;-1,F$10&gt;=0,F$11&gt;=0,OR(F$12=0,F$12=1)),COUNT(K72,J72)=2),K72+J72*F$10/12*(1-F$12),"n.a.")</x:f>
        <x:v>n.a.</x:v>
      </x:c>
      <x:c r="L73" s="89" t="str">
        <x:f>IF(AND(COUNT(F$7:F$12)=6,F$7&gt;=0,F$8&gt;=0,F$9&gt;-1,F$10&gt;=0,F$11&gt;=0,OR(F$12=0,F$12=1)),F$7+40*F$8,"n.a.")</x:f>
        <x:v>n.a.</x:v>
      </x:c>
    </x:row>
    <x:row r="74">
      <x:c r="C74" t="n">
        <x:v>41</x:v>
      </x:c>
      <x:c r="D74" s="89" t="str">
        <x:f>IF(AND(AND(COUNT(D$7:D$12)=6,D$7&gt;=0,D$8&gt;=0,D$9&gt;-1,D$10&gt;=0,D$11&gt;=0,OR(D$12=0,D$12=1)),ISNUMBER(D73)),D73*((1+D$9)^(1/12)+D$10/12*D$12-D$11/12)+D$8,"n.a.")</x:f>
        <x:v>n.a.</x:v>
      </x:c>
      <x:c r="E74" s="89" t="str">
        <x:f>IF(AND(AND(COUNT(D$7:D$12)=6,D$7&gt;=0,D$8&gt;=0,D$9&gt;-1,D$10&gt;=0,D$11&gt;=0,OR(D$12=0,D$12=1)),COUNT(E73,D73)=2),E73+D73*D$10/12*(1-D$12),"n.a.")</x:f>
        <x:v>n.a.</x:v>
      </x:c>
      <x:c r="F74" s="89" t="str">
        <x:f>IF(AND(COUNT(D$7:D$12)=6,D$7&gt;=0,D$8&gt;=0,D$9&gt;-1,D$10&gt;=0,D$11&gt;=0,OR(D$12=0,D$12=1)),D$7+41*D$8,"n.a.")</x:f>
        <x:v>n.a.</x:v>
      </x:c>
      <x:c r="G74" s="89" t="str">
        <x:f>IF(AND(AND(COUNT(E$7:E$12)=6,E$7&gt;=0,E$8&gt;=0,E$9&gt;-1,E$10&gt;=0,E$11&gt;=0,OR(E$12=0,E$12=1)),ISNUMBER(G73)),G73*((1+E$9)^(1/12)+E$10/12*E$12-E$11/12)+E$8,"n.a.")</x:f>
        <x:v>n.a.</x:v>
      </x:c>
      <x:c r="H74" s="89" t="str">
        <x:f>IF(AND(AND(COUNT(E$7:E$12)=6,E$7&gt;=0,E$8&gt;=0,E$9&gt;-1,E$10&gt;=0,E$11&gt;=0,OR(E$12=0,E$12=1)),COUNT(H73,G73)=2),H73+G73*E$10/12*(1-E$12),"n.a.")</x:f>
        <x:v>n.a.</x:v>
      </x:c>
      <x:c r="I74" s="89" t="str">
        <x:f>IF(AND(COUNT(E$7:E$12)=6,E$7&gt;=0,E$8&gt;=0,E$9&gt;-1,E$10&gt;=0,E$11&gt;=0,OR(E$12=0,E$12=1)),E$7+41*E$8,"n.a.")</x:f>
        <x:v>n.a.</x:v>
      </x:c>
      <x:c r="J74" s="89" t="str">
        <x:f>IF(AND(AND(COUNT(F$7:F$12)=6,F$7&gt;=0,F$8&gt;=0,F$9&gt;-1,F$10&gt;=0,F$11&gt;=0,OR(F$12=0,F$12=1)),ISNUMBER(J73)),J73*((1+F$9)^(1/12)+F$10/12*F$12-F$11/12)+F$8,"n.a.")</x:f>
        <x:v>n.a.</x:v>
      </x:c>
      <x:c r="K74" s="89" t="str">
        <x:f>IF(AND(AND(COUNT(F$7:F$12)=6,F$7&gt;=0,F$8&gt;=0,F$9&gt;-1,F$10&gt;=0,F$11&gt;=0,OR(F$12=0,F$12=1)),COUNT(K73,J73)=2),K73+J73*F$10/12*(1-F$12),"n.a.")</x:f>
        <x:v>n.a.</x:v>
      </x:c>
      <x:c r="L74" s="89" t="str">
        <x:f>IF(AND(COUNT(F$7:F$12)=6,F$7&gt;=0,F$8&gt;=0,F$9&gt;-1,F$10&gt;=0,F$11&gt;=0,OR(F$12=0,F$12=1)),F$7+41*F$8,"n.a.")</x:f>
        <x:v>n.a.</x:v>
      </x:c>
    </x:row>
    <x:row r="75">
      <x:c r="C75" t="n">
        <x:v>42</x:v>
      </x:c>
      <x:c r="D75" s="89" t="str">
        <x:f>IF(AND(AND(COUNT(D$7:D$12)=6,D$7&gt;=0,D$8&gt;=0,D$9&gt;-1,D$10&gt;=0,D$11&gt;=0,OR(D$12=0,D$12=1)),ISNUMBER(D74)),D74*((1+D$9)^(1/12)+D$10/12*D$12-D$11/12)+D$8,"n.a.")</x:f>
        <x:v>n.a.</x:v>
      </x:c>
      <x:c r="E75" s="89" t="str">
        <x:f>IF(AND(AND(COUNT(D$7:D$12)=6,D$7&gt;=0,D$8&gt;=0,D$9&gt;-1,D$10&gt;=0,D$11&gt;=0,OR(D$12=0,D$12=1)),COUNT(E74,D74)=2),E74+D74*D$10/12*(1-D$12),"n.a.")</x:f>
        <x:v>n.a.</x:v>
      </x:c>
      <x:c r="F75" s="89" t="str">
        <x:f>IF(AND(COUNT(D$7:D$12)=6,D$7&gt;=0,D$8&gt;=0,D$9&gt;-1,D$10&gt;=0,D$11&gt;=0,OR(D$12=0,D$12=1)),D$7+42*D$8,"n.a.")</x:f>
        <x:v>n.a.</x:v>
      </x:c>
      <x:c r="G75" s="89" t="str">
        <x:f>IF(AND(AND(COUNT(E$7:E$12)=6,E$7&gt;=0,E$8&gt;=0,E$9&gt;-1,E$10&gt;=0,E$11&gt;=0,OR(E$12=0,E$12=1)),ISNUMBER(G74)),G74*((1+E$9)^(1/12)+E$10/12*E$12-E$11/12)+E$8,"n.a.")</x:f>
        <x:v>n.a.</x:v>
      </x:c>
      <x:c r="H75" s="89" t="str">
        <x:f>IF(AND(AND(COUNT(E$7:E$12)=6,E$7&gt;=0,E$8&gt;=0,E$9&gt;-1,E$10&gt;=0,E$11&gt;=0,OR(E$12=0,E$12=1)),COUNT(H74,G74)=2),H74+G74*E$10/12*(1-E$12),"n.a.")</x:f>
        <x:v>n.a.</x:v>
      </x:c>
      <x:c r="I75" s="89" t="str">
        <x:f>IF(AND(COUNT(E$7:E$12)=6,E$7&gt;=0,E$8&gt;=0,E$9&gt;-1,E$10&gt;=0,E$11&gt;=0,OR(E$12=0,E$12=1)),E$7+42*E$8,"n.a.")</x:f>
        <x:v>n.a.</x:v>
      </x:c>
      <x:c r="J75" s="89" t="str">
        <x:f>IF(AND(AND(COUNT(F$7:F$12)=6,F$7&gt;=0,F$8&gt;=0,F$9&gt;-1,F$10&gt;=0,F$11&gt;=0,OR(F$12=0,F$12=1)),ISNUMBER(J74)),J74*((1+F$9)^(1/12)+F$10/12*F$12-F$11/12)+F$8,"n.a.")</x:f>
        <x:v>n.a.</x:v>
      </x:c>
      <x:c r="K75" s="89" t="str">
        <x:f>IF(AND(AND(COUNT(F$7:F$12)=6,F$7&gt;=0,F$8&gt;=0,F$9&gt;-1,F$10&gt;=0,F$11&gt;=0,OR(F$12=0,F$12=1)),COUNT(K74,J74)=2),K74+J74*F$10/12*(1-F$12),"n.a.")</x:f>
        <x:v>n.a.</x:v>
      </x:c>
      <x:c r="L75" s="89" t="str">
        <x:f>IF(AND(COUNT(F$7:F$12)=6,F$7&gt;=0,F$8&gt;=0,F$9&gt;-1,F$10&gt;=0,F$11&gt;=0,OR(F$12=0,F$12=1)),F$7+42*F$8,"n.a.")</x:f>
        <x:v>n.a.</x:v>
      </x:c>
    </x:row>
    <x:row r="76">
      <x:c r="C76" t="n">
        <x:v>43</x:v>
      </x:c>
      <x:c r="D76" s="89" t="str">
        <x:f>IF(AND(AND(COUNT(D$7:D$12)=6,D$7&gt;=0,D$8&gt;=0,D$9&gt;-1,D$10&gt;=0,D$11&gt;=0,OR(D$12=0,D$12=1)),ISNUMBER(D75)),D75*((1+D$9)^(1/12)+D$10/12*D$12-D$11/12)+D$8,"n.a.")</x:f>
        <x:v>n.a.</x:v>
      </x:c>
      <x:c r="E76" s="89" t="str">
        <x:f>IF(AND(AND(COUNT(D$7:D$12)=6,D$7&gt;=0,D$8&gt;=0,D$9&gt;-1,D$10&gt;=0,D$11&gt;=0,OR(D$12=0,D$12=1)),COUNT(E75,D75)=2),E75+D75*D$10/12*(1-D$12),"n.a.")</x:f>
        <x:v>n.a.</x:v>
      </x:c>
      <x:c r="F76" s="89" t="str">
        <x:f>IF(AND(COUNT(D$7:D$12)=6,D$7&gt;=0,D$8&gt;=0,D$9&gt;-1,D$10&gt;=0,D$11&gt;=0,OR(D$12=0,D$12=1)),D$7+43*D$8,"n.a.")</x:f>
        <x:v>n.a.</x:v>
      </x:c>
      <x:c r="G76" s="89" t="str">
        <x:f>IF(AND(AND(COUNT(E$7:E$12)=6,E$7&gt;=0,E$8&gt;=0,E$9&gt;-1,E$10&gt;=0,E$11&gt;=0,OR(E$12=0,E$12=1)),ISNUMBER(G75)),G75*((1+E$9)^(1/12)+E$10/12*E$12-E$11/12)+E$8,"n.a.")</x:f>
        <x:v>n.a.</x:v>
      </x:c>
      <x:c r="H76" s="89" t="str">
        <x:f>IF(AND(AND(COUNT(E$7:E$12)=6,E$7&gt;=0,E$8&gt;=0,E$9&gt;-1,E$10&gt;=0,E$11&gt;=0,OR(E$12=0,E$12=1)),COUNT(H75,G75)=2),H75+G75*E$10/12*(1-E$12),"n.a.")</x:f>
        <x:v>n.a.</x:v>
      </x:c>
      <x:c r="I76" s="89" t="str">
        <x:f>IF(AND(COUNT(E$7:E$12)=6,E$7&gt;=0,E$8&gt;=0,E$9&gt;-1,E$10&gt;=0,E$11&gt;=0,OR(E$12=0,E$12=1)),E$7+43*E$8,"n.a.")</x:f>
        <x:v>n.a.</x:v>
      </x:c>
      <x:c r="J76" s="89" t="str">
        <x:f>IF(AND(AND(COUNT(F$7:F$12)=6,F$7&gt;=0,F$8&gt;=0,F$9&gt;-1,F$10&gt;=0,F$11&gt;=0,OR(F$12=0,F$12=1)),ISNUMBER(J75)),J75*((1+F$9)^(1/12)+F$10/12*F$12-F$11/12)+F$8,"n.a.")</x:f>
        <x:v>n.a.</x:v>
      </x:c>
      <x:c r="K76" s="89" t="str">
        <x:f>IF(AND(AND(COUNT(F$7:F$12)=6,F$7&gt;=0,F$8&gt;=0,F$9&gt;-1,F$10&gt;=0,F$11&gt;=0,OR(F$12=0,F$12=1)),COUNT(K75,J75)=2),K75+J75*F$10/12*(1-F$12),"n.a.")</x:f>
        <x:v>n.a.</x:v>
      </x:c>
      <x:c r="L76" s="89" t="str">
        <x:f>IF(AND(COUNT(F$7:F$12)=6,F$7&gt;=0,F$8&gt;=0,F$9&gt;-1,F$10&gt;=0,F$11&gt;=0,OR(F$12=0,F$12=1)),F$7+43*F$8,"n.a.")</x:f>
        <x:v>n.a.</x:v>
      </x:c>
    </x:row>
    <x:row r="77">
      <x:c r="C77" t="n">
        <x:v>44</x:v>
      </x:c>
      <x:c r="D77" s="89" t="str">
        <x:f>IF(AND(AND(COUNT(D$7:D$12)=6,D$7&gt;=0,D$8&gt;=0,D$9&gt;-1,D$10&gt;=0,D$11&gt;=0,OR(D$12=0,D$12=1)),ISNUMBER(D76)),D76*((1+D$9)^(1/12)+D$10/12*D$12-D$11/12)+D$8,"n.a.")</x:f>
        <x:v>n.a.</x:v>
      </x:c>
      <x:c r="E77" s="89" t="str">
        <x:f>IF(AND(AND(COUNT(D$7:D$12)=6,D$7&gt;=0,D$8&gt;=0,D$9&gt;-1,D$10&gt;=0,D$11&gt;=0,OR(D$12=0,D$12=1)),COUNT(E76,D76)=2),E76+D76*D$10/12*(1-D$12),"n.a.")</x:f>
        <x:v>n.a.</x:v>
      </x:c>
      <x:c r="F77" s="89" t="str">
        <x:f>IF(AND(COUNT(D$7:D$12)=6,D$7&gt;=0,D$8&gt;=0,D$9&gt;-1,D$10&gt;=0,D$11&gt;=0,OR(D$12=0,D$12=1)),D$7+44*D$8,"n.a.")</x:f>
        <x:v>n.a.</x:v>
      </x:c>
      <x:c r="G77" s="89" t="str">
        <x:f>IF(AND(AND(COUNT(E$7:E$12)=6,E$7&gt;=0,E$8&gt;=0,E$9&gt;-1,E$10&gt;=0,E$11&gt;=0,OR(E$12=0,E$12=1)),ISNUMBER(G76)),G76*((1+E$9)^(1/12)+E$10/12*E$12-E$11/12)+E$8,"n.a.")</x:f>
        <x:v>n.a.</x:v>
      </x:c>
      <x:c r="H77" s="89" t="str">
        <x:f>IF(AND(AND(COUNT(E$7:E$12)=6,E$7&gt;=0,E$8&gt;=0,E$9&gt;-1,E$10&gt;=0,E$11&gt;=0,OR(E$12=0,E$12=1)),COUNT(H76,G76)=2),H76+G76*E$10/12*(1-E$12),"n.a.")</x:f>
        <x:v>n.a.</x:v>
      </x:c>
      <x:c r="I77" s="89" t="str">
        <x:f>IF(AND(COUNT(E$7:E$12)=6,E$7&gt;=0,E$8&gt;=0,E$9&gt;-1,E$10&gt;=0,E$11&gt;=0,OR(E$12=0,E$12=1)),E$7+44*E$8,"n.a.")</x:f>
        <x:v>n.a.</x:v>
      </x:c>
      <x:c r="J77" s="89" t="str">
        <x:f>IF(AND(AND(COUNT(F$7:F$12)=6,F$7&gt;=0,F$8&gt;=0,F$9&gt;-1,F$10&gt;=0,F$11&gt;=0,OR(F$12=0,F$12=1)),ISNUMBER(J76)),J76*((1+F$9)^(1/12)+F$10/12*F$12-F$11/12)+F$8,"n.a.")</x:f>
        <x:v>n.a.</x:v>
      </x:c>
      <x:c r="K77" s="89" t="str">
        <x:f>IF(AND(AND(COUNT(F$7:F$12)=6,F$7&gt;=0,F$8&gt;=0,F$9&gt;-1,F$10&gt;=0,F$11&gt;=0,OR(F$12=0,F$12=1)),COUNT(K76,J76)=2),K76+J76*F$10/12*(1-F$12),"n.a.")</x:f>
        <x:v>n.a.</x:v>
      </x:c>
      <x:c r="L77" s="89" t="str">
        <x:f>IF(AND(COUNT(F$7:F$12)=6,F$7&gt;=0,F$8&gt;=0,F$9&gt;-1,F$10&gt;=0,F$11&gt;=0,OR(F$12=0,F$12=1)),F$7+44*F$8,"n.a.")</x:f>
        <x:v>n.a.</x:v>
      </x:c>
    </x:row>
    <x:row r="78">
      <x:c r="C78" t="n">
        <x:v>45</x:v>
      </x:c>
      <x:c r="D78" s="89" t="str">
        <x:f>IF(AND(AND(COUNT(D$7:D$12)=6,D$7&gt;=0,D$8&gt;=0,D$9&gt;-1,D$10&gt;=0,D$11&gt;=0,OR(D$12=0,D$12=1)),ISNUMBER(D77)),D77*((1+D$9)^(1/12)+D$10/12*D$12-D$11/12)+D$8,"n.a.")</x:f>
        <x:v>n.a.</x:v>
      </x:c>
      <x:c r="E78" s="89" t="str">
        <x:f>IF(AND(AND(COUNT(D$7:D$12)=6,D$7&gt;=0,D$8&gt;=0,D$9&gt;-1,D$10&gt;=0,D$11&gt;=0,OR(D$12=0,D$12=1)),COUNT(E77,D77)=2),E77+D77*D$10/12*(1-D$12),"n.a.")</x:f>
        <x:v>n.a.</x:v>
      </x:c>
      <x:c r="F78" s="89" t="str">
        <x:f>IF(AND(COUNT(D$7:D$12)=6,D$7&gt;=0,D$8&gt;=0,D$9&gt;-1,D$10&gt;=0,D$11&gt;=0,OR(D$12=0,D$12=1)),D$7+45*D$8,"n.a.")</x:f>
        <x:v>n.a.</x:v>
      </x:c>
      <x:c r="G78" s="89" t="str">
        <x:f>IF(AND(AND(COUNT(E$7:E$12)=6,E$7&gt;=0,E$8&gt;=0,E$9&gt;-1,E$10&gt;=0,E$11&gt;=0,OR(E$12=0,E$12=1)),ISNUMBER(G77)),G77*((1+E$9)^(1/12)+E$10/12*E$12-E$11/12)+E$8,"n.a.")</x:f>
        <x:v>n.a.</x:v>
      </x:c>
      <x:c r="H78" s="89" t="str">
        <x:f>IF(AND(AND(COUNT(E$7:E$12)=6,E$7&gt;=0,E$8&gt;=0,E$9&gt;-1,E$10&gt;=0,E$11&gt;=0,OR(E$12=0,E$12=1)),COUNT(H77,G77)=2),H77+G77*E$10/12*(1-E$12),"n.a.")</x:f>
        <x:v>n.a.</x:v>
      </x:c>
      <x:c r="I78" s="89" t="str">
        <x:f>IF(AND(COUNT(E$7:E$12)=6,E$7&gt;=0,E$8&gt;=0,E$9&gt;-1,E$10&gt;=0,E$11&gt;=0,OR(E$12=0,E$12=1)),E$7+45*E$8,"n.a.")</x:f>
        <x:v>n.a.</x:v>
      </x:c>
      <x:c r="J78" s="89" t="str">
        <x:f>IF(AND(AND(COUNT(F$7:F$12)=6,F$7&gt;=0,F$8&gt;=0,F$9&gt;-1,F$10&gt;=0,F$11&gt;=0,OR(F$12=0,F$12=1)),ISNUMBER(J77)),J77*((1+F$9)^(1/12)+F$10/12*F$12-F$11/12)+F$8,"n.a.")</x:f>
        <x:v>n.a.</x:v>
      </x:c>
      <x:c r="K78" s="89" t="str">
        <x:f>IF(AND(AND(COUNT(F$7:F$12)=6,F$7&gt;=0,F$8&gt;=0,F$9&gt;-1,F$10&gt;=0,F$11&gt;=0,OR(F$12=0,F$12=1)),COUNT(K77,J77)=2),K77+J77*F$10/12*(1-F$12),"n.a.")</x:f>
        <x:v>n.a.</x:v>
      </x:c>
      <x:c r="L78" s="89" t="str">
        <x:f>IF(AND(COUNT(F$7:F$12)=6,F$7&gt;=0,F$8&gt;=0,F$9&gt;-1,F$10&gt;=0,F$11&gt;=0,OR(F$12=0,F$12=1)),F$7+45*F$8,"n.a.")</x:f>
        <x:v>n.a.</x:v>
      </x:c>
    </x:row>
    <x:row r="79">
      <x:c r="C79" t="n">
        <x:v>46</x:v>
      </x:c>
      <x:c r="D79" s="89" t="str">
        <x:f>IF(AND(AND(COUNT(D$7:D$12)=6,D$7&gt;=0,D$8&gt;=0,D$9&gt;-1,D$10&gt;=0,D$11&gt;=0,OR(D$12=0,D$12=1)),ISNUMBER(D78)),D78*((1+D$9)^(1/12)+D$10/12*D$12-D$11/12)+D$8,"n.a.")</x:f>
        <x:v>n.a.</x:v>
      </x:c>
      <x:c r="E79" s="89" t="str">
        <x:f>IF(AND(AND(COUNT(D$7:D$12)=6,D$7&gt;=0,D$8&gt;=0,D$9&gt;-1,D$10&gt;=0,D$11&gt;=0,OR(D$12=0,D$12=1)),COUNT(E78,D78)=2),E78+D78*D$10/12*(1-D$12),"n.a.")</x:f>
        <x:v>n.a.</x:v>
      </x:c>
      <x:c r="F79" s="89" t="str">
        <x:f>IF(AND(COUNT(D$7:D$12)=6,D$7&gt;=0,D$8&gt;=0,D$9&gt;-1,D$10&gt;=0,D$11&gt;=0,OR(D$12=0,D$12=1)),D$7+46*D$8,"n.a.")</x:f>
        <x:v>n.a.</x:v>
      </x:c>
      <x:c r="G79" s="89" t="str">
        <x:f>IF(AND(AND(COUNT(E$7:E$12)=6,E$7&gt;=0,E$8&gt;=0,E$9&gt;-1,E$10&gt;=0,E$11&gt;=0,OR(E$12=0,E$12=1)),ISNUMBER(G78)),G78*((1+E$9)^(1/12)+E$10/12*E$12-E$11/12)+E$8,"n.a.")</x:f>
        <x:v>n.a.</x:v>
      </x:c>
      <x:c r="H79" s="89" t="str">
        <x:f>IF(AND(AND(COUNT(E$7:E$12)=6,E$7&gt;=0,E$8&gt;=0,E$9&gt;-1,E$10&gt;=0,E$11&gt;=0,OR(E$12=0,E$12=1)),COUNT(H78,G78)=2),H78+G78*E$10/12*(1-E$12),"n.a.")</x:f>
        <x:v>n.a.</x:v>
      </x:c>
      <x:c r="I79" s="89" t="str">
        <x:f>IF(AND(COUNT(E$7:E$12)=6,E$7&gt;=0,E$8&gt;=0,E$9&gt;-1,E$10&gt;=0,E$11&gt;=0,OR(E$12=0,E$12=1)),E$7+46*E$8,"n.a.")</x:f>
        <x:v>n.a.</x:v>
      </x:c>
      <x:c r="J79" s="89" t="str">
        <x:f>IF(AND(AND(COUNT(F$7:F$12)=6,F$7&gt;=0,F$8&gt;=0,F$9&gt;-1,F$10&gt;=0,F$11&gt;=0,OR(F$12=0,F$12=1)),ISNUMBER(J78)),J78*((1+F$9)^(1/12)+F$10/12*F$12-F$11/12)+F$8,"n.a.")</x:f>
        <x:v>n.a.</x:v>
      </x:c>
      <x:c r="K79" s="89" t="str">
        <x:f>IF(AND(AND(COUNT(F$7:F$12)=6,F$7&gt;=0,F$8&gt;=0,F$9&gt;-1,F$10&gt;=0,F$11&gt;=0,OR(F$12=0,F$12=1)),COUNT(K78,J78)=2),K78+J78*F$10/12*(1-F$12),"n.a.")</x:f>
        <x:v>n.a.</x:v>
      </x:c>
      <x:c r="L79" s="89" t="str">
        <x:f>IF(AND(COUNT(F$7:F$12)=6,F$7&gt;=0,F$8&gt;=0,F$9&gt;-1,F$10&gt;=0,F$11&gt;=0,OR(F$12=0,F$12=1)),F$7+46*F$8,"n.a.")</x:f>
        <x:v>n.a.</x:v>
      </x:c>
    </x:row>
    <x:row r="80">
      <x:c r="C80" t="n">
        <x:v>47</x:v>
      </x:c>
      <x:c r="D80" s="89" t="str">
        <x:f>IF(AND(AND(COUNT(D$7:D$12)=6,D$7&gt;=0,D$8&gt;=0,D$9&gt;-1,D$10&gt;=0,D$11&gt;=0,OR(D$12=0,D$12=1)),ISNUMBER(D79)),D79*((1+D$9)^(1/12)+D$10/12*D$12-D$11/12)+D$8,"n.a.")</x:f>
        <x:v>n.a.</x:v>
      </x:c>
      <x:c r="E80" s="89" t="str">
        <x:f>IF(AND(AND(COUNT(D$7:D$12)=6,D$7&gt;=0,D$8&gt;=0,D$9&gt;-1,D$10&gt;=0,D$11&gt;=0,OR(D$12=0,D$12=1)),COUNT(E79,D79)=2),E79+D79*D$10/12*(1-D$12),"n.a.")</x:f>
        <x:v>n.a.</x:v>
      </x:c>
      <x:c r="F80" s="89" t="str">
        <x:f>IF(AND(COUNT(D$7:D$12)=6,D$7&gt;=0,D$8&gt;=0,D$9&gt;-1,D$10&gt;=0,D$11&gt;=0,OR(D$12=0,D$12=1)),D$7+47*D$8,"n.a.")</x:f>
        <x:v>n.a.</x:v>
      </x:c>
      <x:c r="G80" s="89" t="str">
        <x:f>IF(AND(AND(COUNT(E$7:E$12)=6,E$7&gt;=0,E$8&gt;=0,E$9&gt;-1,E$10&gt;=0,E$11&gt;=0,OR(E$12=0,E$12=1)),ISNUMBER(G79)),G79*((1+E$9)^(1/12)+E$10/12*E$12-E$11/12)+E$8,"n.a.")</x:f>
        <x:v>n.a.</x:v>
      </x:c>
      <x:c r="H80" s="89" t="str">
        <x:f>IF(AND(AND(COUNT(E$7:E$12)=6,E$7&gt;=0,E$8&gt;=0,E$9&gt;-1,E$10&gt;=0,E$11&gt;=0,OR(E$12=0,E$12=1)),COUNT(H79,G79)=2),H79+G79*E$10/12*(1-E$12),"n.a.")</x:f>
        <x:v>n.a.</x:v>
      </x:c>
      <x:c r="I80" s="89" t="str">
        <x:f>IF(AND(COUNT(E$7:E$12)=6,E$7&gt;=0,E$8&gt;=0,E$9&gt;-1,E$10&gt;=0,E$11&gt;=0,OR(E$12=0,E$12=1)),E$7+47*E$8,"n.a.")</x:f>
        <x:v>n.a.</x:v>
      </x:c>
      <x:c r="J80" s="89" t="str">
        <x:f>IF(AND(AND(COUNT(F$7:F$12)=6,F$7&gt;=0,F$8&gt;=0,F$9&gt;-1,F$10&gt;=0,F$11&gt;=0,OR(F$12=0,F$12=1)),ISNUMBER(J79)),J79*((1+F$9)^(1/12)+F$10/12*F$12-F$11/12)+F$8,"n.a.")</x:f>
        <x:v>n.a.</x:v>
      </x:c>
      <x:c r="K80" s="89" t="str">
        <x:f>IF(AND(AND(COUNT(F$7:F$12)=6,F$7&gt;=0,F$8&gt;=0,F$9&gt;-1,F$10&gt;=0,F$11&gt;=0,OR(F$12=0,F$12=1)),COUNT(K79,J79)=2),K79+J79*F$10/12*(1-F$12),"n.a.")</x:f>
        <x:v>n.a.</x:v>
      </x:c>
      <x:c r="L80" s="89" t="str">
        <x:f>IF(AND(COUNT(F$7:F$12)=6,F$7&gt;=0,F$8&gt;=0,F$9&gt;-1,F$10&gt;=0,F$11&gt;=0,OR(F$12=0,F$12=1)),F$7+47*F$8,"n.a.")</x:f>
        <x:v>n.a.</x:v>
      </x:c>
    </x:row>
    <x:row r="81">
      <x:c r="C81" t="n">
        <x:v>48</x:v>
      </x:c>
      <x:c r="D81" s="89" t="str">
        <x:f>IF(AND(AND(COUNT(D$7:D$12)=6,D$7&gt;=0,D$8&gt;=0,D$9&gt;-1,D$10&gt;=0,D$11&gt;=0,OR(D$12=0,D$12=1)),ISNUMBER(D80)),D80*((1+D$9)^(1/12)+D$10/12*D$12-D$11/12)+D$8,"n.a.")</x:f>
        <x:v>n.a.</x:v>
      </x:c>
      <x:c r="E81" s="89" t="str">
        <x:f>IF(AND(AND(COUNT(D$7:D$12)=6,D$7&gt;=0,D$8&gt;=0,D$9&gt;-1,D$10&gt;=0,D$11&gt;=0,OR(D$12=0,D$12=1)),COUNT(E80,D80)=2),E80+D80*D$10/12*(1-D$12),"n.a.")</x:f>
        <x:v>n.a.</x:v>
      </x:c>
      <x:c r="F81" s="89" t="str">
        <x:f>IF(AND(COUNT(D$7:D$12)=6,D$7&gt;=0,D$8&gt;=0,D$9&gt;-1,D$10&gt;=0,D$11&gt;=0,OR(D$12=0,D$12=1)),D$7+48*D$8,"n.a.")</x:f>
        <x:v>n.a.</x:v>
      </x:c>
      <x:c r="G81" s="89" t="str">
        <x:f>IF(AND(AND(COUNT(E$7:E$12)=6,E$7&gt;=0,E$8&gt;=0,E$9&gt;-1,E$10&gt;=0,E$11&gt;=0,OR(E$12=0,E$12=1)),ISNUMBER(G80)),G80*((1+E$9)^(1/12)+E$10/12*E$12-E$11/12)+E$8,"n.a.")</x:f>
        <x:v>n.a.</x:v>
      </x:c>
      <x:c r="H81" s="89" t="str">
        <x:f>IF(AND(AND(COUNT(E$7:E$12)=6,E$7&gt;=0,E$8&gt;=0,E$9&gt;-1,E$10&gt;=0,E$11&gt;=0,OR(E$12=0,E$12=1)),COUNT(H80,G80)=2),H80+G80*E$10/12*(1-E$12),"n.a.")</x:f>
        <x:v>n.a.</x:v>
      </x:c>
      <x:c r="I81" s="89" t="str">
        <x:f>IF(AND(COUNT(E$7:E$12)=6,E$7&gt;=0,E$8&gt;=0,E$9&gt;-1,E$10&gt;=0,E$11&gt;=0,OR(E$12=0,E$12=1)),E$7+48*E$8,"n.a.")</x:f>
        <x:v>n.a.</x:v>
      </x:c>
      <x:c r="J81" s="89" t="str">
        <x:f>IF(AND(AND(COUNT(F$7:F$12)=6,F$7&gt;=0,F$8&gt;=0,F$9&gt;-1,F$10&gt;=0,F$11&gt;=0,OR(F$12=0,F$12=1)),ISNUMBER(J80)),J80*((1+F$9)^(1/12)+F$10/12*F$12-F$11/12)+F$8,"n.a.")</x:f>
        <x:v>n.a.</x:v>
      </x:c>
      <x:c r="K81" s="89" t="str">
        <x:f>IF(AND(AND(COUNT(F$7:F$12)=6,F$7&gt;=0,F$8&gt;=0,F$9&gt;-1,F$10&gt;=0,F$11&gt;=0,OR(F$12=0,F$12=1)),COUNT(K80,J80)=2),K80+J80*F$10/12*(1-F$12),"n.a.")</x:f>
        <x:v>n.a.</x:v>
      </x:c>
      <x:c r="L81" s="89" t="str">
        <x:f>IF(AND(COUNT(F$7:F$12)=6,F$7&gt;=0,F$8&gt;=0,F$9&gt;-1,F$10&gt;=0,F$11&gt;=0,OR(F$12=0,F$12=1)),F$7+48*F$8,"n.a.")</x:f>
        <x:v>n.a.</x:v>
      </x:c>
    </x:row>
    <x:row r="82">
      <x:c r="C82" t="n">
        <x:v>49</x:v>
      </x:c>
      <x:c r="D82" s="89" t="str">
        <x:f>IF(AND(AND(COUNT(D$7:D$12)=6,D$7&gt;=0,D$8&gt;=0,D$9&gt;-1,D$10&gt;=0,D$11&gt;=0,OR(D$12=0,D$12=1)),ISNUMBER(D81)),D81*((1+D$9)^(1/12)+D$10/12*D$12-D$11/12)+D$8,"n.a.")</x:f>
        <x:v>n.a.</x:v>
      </x:c>
      <x:c r="E82" s="89" t="str">
        <x:f>IF(AND(AND(COUNT(D$7:D$12)=6,D$7&gt;=0,D$8&gt;=0,D$9&gt;-1,D$10&gt;=0,D$11&gt;=0,OR(D$12=0,D$12=1)),COUNT(E81,D81)=2),E81+D81*D$10/12*(1-D$12),"n.a.")</x:f>
        <x:v>n.a.</x:v>
      </x:c>
      <x:c r="F82" s="89" t="str">
        <x:f>IF(AND(COUNT(D$7:D$12)=6,D$7&gt;=0,D$8&gt;=0,D$9&gt;-1,D$10&gt;=0,D$11&gt;=0,OR(D$12=0,D$12=1)),D$7+49*D$8,"n.a.")</x:f>
        <x:v>n.a.</x:v>
      </x:c>
      <x:c r="G82" s="89" t="str">
        <x:f>IF(AND(AND(COUNT(E$7:E$12)=6,E$7&gt;=0,E$8&gt;=0,E$9&gt;-1,E$10&gt;=0,E$11&gt;=0,OR(E$12=0,E$12=1)),ISNUMBER(G81)),G81*((1+E$9)^(1/12)+E$10/12*E$12-E$11/12)+E$8,"n.a.")</x:f>
        <x:v>n.a.</x:v>
      </x:c>
      <x:c r="H82" s="89" t="str">
        <x:f>IF(AND(AND(COUNT(E$7:E$12)=6,E$7&gt;=0,E$8&gt;=0,E$9&gt;-1,E$10&gt;=0,E$11&gt;=0,OR(E$12=0,E$12=1)),COUNT(H81,G81)=2),H81+G81*E$10/12*(1-E$12),"n.a.")</x:f>
        <x:v>n.a.</x:v>
      </x:c>
      <x:c r="I82" s="89" t="str">
        <x:f>IF(AND(COUNT(E$7:E$12)=6,E$7&gt;=0,E$8&gt;=0,E$9&gt;-1,E$10&gt;=0,E$11&gt;=0,OR(E$12=0,E$12=1)),E$7+49*E$8,"n.a.")</x:f>
        <x:v>n.a.</x:v>
      </x:c>
      <x:c r="J82" s="89" t="str">
        <x:f>IF(AND(AND(COUNT(F$7:F$12)=6,F$7&gt;=0,F$8&gt;=0,F$9&gt;-1,F$10&gt;=0,F$11&gt;=0,OR(F$12=0,F$12=1)),ISNUMBER(J81)),J81*((1+F$9)^(1/12)+F$10/12*F$12-F$11/12)+F$8,"n.a.")</x:f>
        <x:v>n.a.</x:v>
      </x:c>
      <x:c r="K82" s="89" t="str">
        <x:f>IF(AND(AND(COUNT(F$7:F$12)=6,F$7&gt;=0,F$8&gt;=0,F$9&gt;-1,F$10&gt;=0,F$11&gt;=0,OR(F$12=0,F$12=1)),COUNT(K81,J81)=2),K81+J81*F$10/12*(1-F$12),"n.a.")</x:f>
        <x:v>n.a.</x:v>
      </x:c>
      <x:c r="L82" s="89" t="str">
        <x:f>IF(AND(COUNT(F$7:F$12)=6,F$7&gt;=0,F$8&gt;=0,F$9&gt;-1,F$10&gt;=0,F$11&gt;=0,OR(F$12=0,F$12=1)),F$7+49*F$8,"n.a.")</x:f>
        <x:v>n.a.</x:v>
      </x:c>
    </x:row>
    <x:row r="83">
      <x:c r="C83" t="n">
        <x:v>50</x:v>
      </x:c>
      <x:c r="D83" s="89" t="str">
        <x:f>IF(AND(AND(COUNT(D$7:D$12)=6,D$7&gt;=0,D$8&gt;=0,D$9&gt;-1,D$10&gt;=0,D$11&gt;=0,OR(D$12=0,D$12=1)),ISNUMBER(D82)),D82*((1+D$9)^(1/12)+D$10/12*D$12-D$11/12)+D$8,"n.a.")</x:f>
        <x:v>n.a.</x:v>
      </x:c>
      <x:c r="E83" s="89" t="str">
        <x:f>IF(AND(AND(COUNT(D$7:D$12)=6,D$7&gt;=0,D$8&gt;=0,D$9&gt;-1,D$10&gt;=0,D$11&gt;=0,OR(D$12=0,D$12=1)),COUNT(E82,D82)=2),E82+D82*D$10/12*(1-D$12),"n.a.")</x:f>
        <x:v>n.a.</x:v>
      </x:c>
      <x:c r="F83" s="89" t="str">
        <x:f>IF(AND(COUNT(D$7:D$12)=6,D$7&gt;=0,D$8&gt;=0,D$9&gt;-1,D$10&gt;=0,D$11&gt;=0,OR(D$12=0,D$12=1)),D$7+50*D$8,"n.a.")</x:f>
        <x:v>n.a.</x:v>
      </x:c>
      <x:c r="G83" s="89" t="str">
        <x:f>IF(AND(AND(COUNT(E$7:E$12)=6,E$7&gt;=0,E$8&gt;=0,E$9&gt;-1,E$10&gt;=0,E$11&gt;=0,OR(E$12=0,E$12=1)),ISNUMBER(G82)),G82*((1+E$9)^(1/12)+E$10/12*E$12-E$11/12)+E$8,"n.a.")</x:f>
        <x:v>n.a.</x:v>
      </x:c>
      <x:c r="H83" s="89" t="str">
        <x:f>IF(AND(AND(COUNT(E$7:E$12)=6,E$7&gt;=0,E$8&gt;=0,E$9&gt;-1,E$10&gt;=0,E$11&gt;=0,OR(E$12=0,E$12=1)),COUNT(H82,G82)=2),H82+G82*E$10/12*(1-E$12),"n.a.")</x:f>
        <x:v>n.a.</x:v>
      </x:c>
      <x:c r="I83" s="89" t="str">
        <x:f>IF(AND(COUNT(E$7:E$12)=6,E$7&gt;=0,E$8&gt;=0,E$9&gt;-1,E$10&gt;=0,E$11&gt;=0,OR(E$12=0,E$12=1)),E$7+50*E$8,"n.a.")</x:f>
        <x:v>n.a.</x:v>
      </x:c>
      <x:c r="J83" s="89" t="str">
        <x:f>IF(AND(AND(COUNT(F$7:F$12)=6,F$7&gt;=0,F$8&gt;=0,F$9&gt;-1,F$10&gt;=0,F$11&gt;=0,OR(F$12=0,F$12=1)),ISNUMBER(J82)),J82*((1+F$9)^(1/12)+F$10/12*F$12-F$11/12)+F$8,"n.a.")</x:f>
        <x:v>n.a.</x:v>
      </x:c>
      <x:c r="K83" s="89" t="str">
        <x:f>IF(AND(AND(COUNT(F$7:F$12)=6,F$7&gt;=0,F$8&gt;=0,F$9&gt;-1,F$10&gt;=0,F$11&gt;=0,OR(F$12=0,F$12=1)),COUNT(K82,J82)=2),K82+J82*F$10/12*(1-F$12),"n.a.")</x:f>
        <x:v>n.a.</x:v>
      </x:c>
      <x:c r="L83" s="89" t="str">
        <x:f>IF(AND(COUNT(F$7:F$12)=6,F$7&gt;=0,F$8&gt;=0,F$9&gt;-1,F$10&gt;=0,F$11&gt;=0,OR(F$12=0,F$12=1)),F$7+50*F$8,"n.a.")</x:f>
        <x:v>n.a.</x:v>
      </x:c>
    </x:row>
    <x:row r="84">
      <x:c r="C84" t="n">
        <x:v>51</x:v>
      </x:c>
      <x:c r="D84" s="89" t="str">
        <x:f>IF(AND(AND(COUNT(D$7:D$12)=6,D$7&gt;=0,D$8&gt;=0,D$9&gt;-1,D$10&gt;=0,D$11&gt;=0,OR(D$12=0,D$12=1)),ISNUMBER(D83)),D83*((1+D$9)^(1/12)+D$10/12*D$12-D$11/12)+D$8,"n.a.")</x:f>
        <x:v>n.a.</x:v>
      </x:c>
      <x:c r="E84" s="89" t="str">
        <x:f>IF(AND(AND(COUNT(D$7:D$12)=6,D$7&gt;=0,D$8&gt;=0,D$9&gt;-1,D$10&gt;=0,D$11&gt;=0,OR(D$12=0,D$12=1)),COUNT(E83,D83)=2),E83+D83*D$10/12*(1-D$12),"n.a.")</x:f>
        <x:v>n.a.</x:v>
      </x:c>
      <x:c r="F84" s="89" t="str">
        <x:f>IF(AND(COUNT(D$7:D$12)=6,D$7&gt;=0,D$8&gt;=0,D$9&gt;-1,D$10&gt;=0,D$11&gt;=0,OR(D$12=0,D$12=1)),D$7+51*D$8,"n.a.")</x:f>
        <x:v>n.a.</x:v>
      </x:c>
      <x:c r="G84" s="89" t="str">
        <x:f>IF(AND(AND(COUNT(E$7:E$12)=6,E$7&gt;=0,E$8&gt;=0,E$9&gt;-1,E$10&gt;=0,E$11&gt;=0,OR(E$12=0,E$12=1)),ISNUMBER(G83)),G83*((1+E$9)^(1/12)+E$10/12*E$12-E$11/12)+E$8,"n.a.")</x:f>
        <x:v>n.a.</x:v>
      </x:c>
      <x:c r="H84" s="89" t="str">
        <x:f>IF(AND(AND(COUNT(E$7:E$12)=6,E$7&gt;=0,E$8&gt;=0,E$9&gt;-1,E$10&gt;=0,E$11&gt;=0,OR(E$12=0,E$12=1)),COUNT(H83,G83)=2),H83+G83*E$10/12*(1-E$12),"n.a.")</x:f>
        <x:v>n.a.</x:v>
      </x:c>
      <x:c r="I84" s="89" t="str">
        <x:f>IF(AND(COUNT(E$7:E$12)=6,E$7&gt;=0,E$8&gt;=0,E$9&gt;-1,E$10&gt;=0,E$11&gt;=0,OR(E$12=0,E$12=1)),E$7+51*E$8,"n.a.")</x:f>
        <x:v>n.a.</x:v>
      </x:c>
      <x:c r="J84" s="89" t="str">
        <x:f>IF(AND(AND(COUNT(F$7:F$12)=6,F$7&gt;=0,F$8&gt;=0,F$9&gt;-1,F$10&gt;=0,F$11&gt;=0,OR(F$12=0,F$12=1)),ISNUMBER(J83)),J83*((1+F$9)^(1/12)+F$10/12*F$12-F$11/12)+F$8,"n.a.")</x:f>
        <x:v>n.a.</x:v>
      </x:c>
      <x:c r="K84" s="89" t="str">
        <x:f>IF(AND(AND(COUNT(F$7:F$12)=6,F$7&gt;=0,F$8&gt;=0,F$9&gt;-1,F$10&gt;=0,F$11&gt;=0,OR(F$12=0,F$12=1)),COUNT(K83,J83)=2),K83+J83*F$10/12*(1-F$12),"n.a.")</x:f>
        <x:v>n.a.</x:v>
      </x:c>
      <x:c r="L84" s="89" t="str">
        <x:f>IF(AND(COUNT(F$7:F$12)=6,F$7&gt;=0,F$8&gt;=0,F$9&gt;-1,F$10&gt;=0,F$11&gt;=0,OR(F$12=0,F$12=1)),F$7+51*F$8,"n.a.")</x:f>
        <x:v>n.a.</x:v>
      </x:c>
    </x:row>
    <x:row r="85">
      <x:c r="C85" t="n">
        <x:v>52</x:v>
      </x:c>
      <x:c r="D85" s="89" t="str">
        <x:f>IF(AND(AND(COUNT(D$7:D$12)=6,D$7&gt;=0,D$8&gt;=0,D$9&gt;-1,D$10&gt;=0,D$11&gt;=0,OR(D$12=0,D$12=1)),ISNUMBER(D84)),D84*((1+D$9)^(1/12)+D$10/12*D$12-D$11/12)+D$8,"n.a.")</x:f>
        <x:v>n.a.</x:v>
      </x:c>
      <x:c r="E85" s="89" t="str">
        <x:f>IF(AND(AND(COUNT(D$7:D$12)=6,D$7&gt;=0,D$8&gt;=0,D$9&gt;-1,D$10&gt;=0,D$11&gt;=0,OR(D$12=0,D$12=1)),COUNT(E84,D84)=2),E84+D84*D$10/12*(1-D$12),"n.a.")</x:f>
        <x:v>n.a.</x:v>
      </x:c>
      <x:c r="F85" s="89" t="str">
        <x:f>IF(AND(COUNT(D$7:D$12)=6,D$7&gt;=0,D$8&gt;=0,D$9&gt;-1,D$10&gt;=0,D$11&gt;=0,OR(D$12=0,D$12=1)),D$7+52*D$8,"n.a.")</x:f>
        <x:v>n.a.</x:v>
      </x:c>
      <x:c r="G85" s="89" t="str">
        <x:f>IF(AND(AND(COUNT(E$7:E$12)=6,E$7&gt;=0,E$8&gt;=0,E$9&gt;-1,E$10&gt;=0,E$11&gt;=0,OR(E$12=0,E$12=1)),ISNUMBER(G84)),G84*((1+E$9)^(1/12)+E$10/12*E$12-E$11/12)+E$8,"n.a.")</x:f>
        <x:v>n.a.</x:v>
      </x:c>
      <x:c r="H85" s="89" t="str">
        <x:f>IF(AND(AND(COUNT(E$7:E$12)=6,E$7&gt;=0,E$8&gt;=0,E$9&gt;-1,E$10&gt;=0,E$11&gt;=0,OR(E$12=0,E$12=1)),COUNT(H84,G84)=2),H84+G84*E$10/12*(1-E$12),"n.a.")</x:f>
        <x:v>n.a.</x:v>
      </x:c>
      <x:c r="I85" s="89" t="str">
        <x:f>IF(AND(COUNT(E$7:E$12)=6,E$7&gt;=0,E$8&gt;=0,E$9&gt;-1,E$10&gt;=0,E$11&gt;=0,OR(E$12=0,E$12=1)),E$7+52*E$8,"n.a.")</x:f>
        <x:v>n.a.</x:v>
      </x:c>
      <x:c r="J85" s="89" t="str">
        <x:f>IF(AND(AND(COUNT(F$7:F$12)=6,F$7&gt;=0,F$8&gt;=0,F$9&gt;-1,F$10&gt;=0,F$11&gt;=0,OR(F$12=0,F$12=1)),ISNUMBER(J84)),J84*((1+F$9)^(1/12)+F$10/12*F$12-F$11/12)+F$8,"n.a.")</x:f>
        <x:v>n.a.</x:v>
      </x:c>
      <x:c r="K85" s="89" t="str">
        <x:f>IF(AND(AND(COUNT(F$7:F$12)=6,F$7&gt;=0,F$8&gt;=0,F$9&gt;-1,F$10&gt;=0,F$11&gt;=0,OR(F$12=0,F$12=1)),COUNT(K84,J84)=2),K84+J84*F$10/12*(1-F$12),"n.a.")</x:f>
        <x:v>n.a.</x:v>
      </x:c>
      <x:c r="L85" s="89" t="str">
        <x:f>IF(AND(COUNT(F$7:F$12)=6,F$7&gt;=0,F$8&gt;=0,F$9&gt;-1,F$10&gt;=0,F$11&gt;=0,OR(F$12=0,F$12=1)),F$7+52*F$8,"n.a.")</x:f>
        <x:v>n.a.</x:v>
      </x:c>
    </x:row>
    <x:row r="86">
      <x:c r="C86" t="n">
        <x:v>53</x:v>
      </x:c>
      <x:c r="D86" s="89" t="str">
        <x:f>IF(AND(AND(COUNT(D$7:D$12)=6,D$7&gt;=0,D$8&gt;=0,D$9&gt;-1,D$10&gt;=0,D$11&gt;=0,OR(D$12=0,D$12=1)),ISNUMBER(D85)),D85*((1+D$9)^(1/12)+D$10/12*D$12-D$11/12)+D$8,"n.a.")</x:f>
        <x:v>n.a.</x:v>
      </x:c>
      <x:c r="E86" s="89" t="str">
        <x:f>IF(AND(AND(COUNT(D$7:D$12)=6,D$7&gt;=0,D$8&gt;=0,D$9&gt;-1,D$10&gt;=0,D$11&gt;=0,OR(D$12=0,D$12=1)),COUNT(E85,D85)=2),E85+D85*D$10/12*(1-D$12),"n.a.")</x:f>
        <x:v>n.a.</x:v>
      </x:c>
      <x:c r="F86" s="89" t="str">
        <x:f>IF(AND(COUNT(D$7:D$12)=6,D$7&gt;=0,D$8&gt;=0,D$9&gt;-1,D$10&gt;=0,D$11&gt;=0,OR(D$12=0,D$12=1)),D$7+53*D$8,"n.a.")</x:f>
        <x:v>n.a.</x:v>
      </x:c>
      <x:c r="G86" s="89" t="str">
        <x:f>IF(AND(AND(COUNT(E$7:E$12)=6,E$7&gt;=0,E$8&gt;=0,E$9&gt;-1,E$10&gt;=0,E$11&gt;=0,OR(E$12=0,E$12=1)),ISNUMBER(G85)),G85*((1+E$9)^(1/12)+E$10/12*E$12-E$11/12)+E$8,"n.a.")</x:f>
        <x:v>n.a.</x:v>
      </x:c>
      <x:c r="H86" s="89" t="str">
        <x:f>IF(AND(AND(COUNT(E$7:E$12)=6,E$7&gt;=0,E$8&gt;=0,E$9&gt;-1,E$10&gt;=0,E$11&gt;=0,OR(E$12=0,E$12=1)),COUNT(H85,G85)=2),H85+G85*E$10/12*(1-E$12),"n.a.")</x:f>
        <x:v>n.a.</x:v>
      </x:c>
      <x:c r="I86" s="89" t="str">
        <x:f>IF(AND(COUNT(E$7:E$12)=6,E$7&gt;=0,E$8&gt;=0,E$9&gt;-1,E$10&gt;=0,E$11&gt;=0,OR(E$12=0,E$12=1)),E$7+53*E$8,"n.a.")</x:f>
        <x:v>n.a.</x:v>
      </x:c>
      <x:c r="J86" s="89" t="str">
        <x:f>IF(AND(AND(COUNT(F$7:F$12)=6,F$7&gt;=0,F$8&gt;=0,F$9&gt;-1,F$10&gt;=0,F$11&gt;=0,OR(F$12=0,F$12=1)),ISNUMBER(J85)),J85*((1+F$9)^(1/12)+F$10/12*F$12-F$11/12)+F$8,"n.a.")</x:f>
        <x:v>n.a.</x:v>
      </x:c>
      <x:c r="K86" s="89" t="str">
        <x:f>IF(AND(AND(COUNT(F$7:F$12)=6,F$7&gt;=0,F$8&gt;=0,F$9&gt;-1,F$10&gt;=0,F$11&gt;=0,OR(F$12=0,F$12=1)),COUNT(K85,J85)=2),K85+J85*F$10/12*(1-F$12),"n.a.")</x:f>
        <x:v>n.a.</x:v>
      </x:c>
      <x:c r="L86" s="89" t="str">
        <x:f>IF(AND(COUNT(F$7:F$12)=6,F$7&gt;=0,F$8&gt;=0,F$9&gt;-1,F$10&gt;=0,F$11&gt;=0,OR(F$12=0,F$12=1)),F$7+53*F$8,"n.a.")</x:f>
        <x:v>n.a.</x:v>
      </x:c>
    </x:row>
    <x:row r="87">
      <x:c r="C87" t="n">
        <x:v>54</x:v>
      </x:c>
      <x:c r="D87" s="89" t="str">
        <x:f>IF(AND(AND(COUNT(D$7:D$12)=6,D$7&gt;=0,D$8&gt;=0,D$9&gt;-1,D$10&gt;=0,D$11&gt;=0,OR(D$12=0,D$12=1)),ISNUMBER(D86)),D86*((1+D$9)^(1/12)+D$10/12*D$12-D$11/12)+D$8,"n.a.")</x:f>
        <x:v>n.a.</x:v>
      </x:c>
      <x:c r="E87" s="89" t="str">
        <x:f>IF(AND(AND(COUNT(D$7:D$12)=6,D$7&gt;=0,D$8&gt;=0,D$9&gt;-1,D$10&gt;=0,D$11&gt;=0,OR(D$12=0,D$12=1)),COUNT(E86,D86)=2),E86+D86*D$10/12*(1-D$12),"n.a.")</x:f>
        <x:v>n.a.</x:v>
      </x:c>
      <x:c r="F87" s="89" t="str">
        <x:f>IF(AND(COUNT(D$7:D$12)=6,D$7&gt;=0,D$8&gt;=0,D$9&gt;-1,D$10&gt;=0,D$11&gt;=0,OR(D$12=0,D$12=1)),D$7+54*D$8,"n.a.")</x:f>
        <x:v>n.a.</x:v>
      </x:c>
      <x:c r="G87" s="89" t="str">
        <x:f>IF(AND(AND(COUNT(E$7:E$12)=6,E$7&gt;=0,E$8&gt;=0,E$9&gt;-1,E$10&gt;=0,E$11&gt;=0,OR(E$12=0,E$12=1)),ISNUMBER(G86)),G86*((1+E$9)^(1/12)+E$10/12*E$12-E$11/12)+E$8,"n.a.")</x:f>
        <x:v>n.a.</x:v>
      </x:c>
      <x:c r="H87" s="89" t="str">
        <x:f>IF(AND(AND(COUNT(E$7:E$12)=6,E$7&gt;=0,E$8&gt;=0,E$9&gt;-1,E$10&gt;=0,E$11&gt;=0,OR(E$12=0,E$12=1)),COUNT(H86,G86)=2),H86+G86*E$10/12*(1-E$12),"n.a.")</x:f>
        <x:v>n.a.</x:v>
      </x:c>
      <x:c r="I87" s="89" t="str">
        <x:f>IF(AND(COUNT(E$7:E$12)=6,E$7&gt;=0,E$8&gt;=0,E$9&gt;-1,E$10&gt;=0,E$11&gt;=0,OR(E$12=0,E$12=1)),E$7+54*E$8,"n.a.")</x:f>
        <x:v>n.a.</x:v>
      </x:c>
      <x:c r="J87" s="89" t="str">
        <x:f>IF(AND(AND(COUNT(F$7:F$12)=6,F$7&gt;=0,F$8&gt;=0,F$9&gt;-1,F$10&gt;=0,F$11&gt;=0,OR(F$12=0,F$12=1)),ISNUMBER(J86)),J86*((1+F$9)^(1/12)+F$10/12*F$12-F$11/12)+F$8,"n.a.")</x:f>
        <x:v>n.a.</x:v>
      </x:c>
      <x:c r="K87" s="89" t="str">
        <x:f>IF(AND(AND(COUNT(F$7:F$12)=6,F$7&gt;=0,F$8&gt;=0,F$9&gt;-1,F$10&gt;=0,F$11&gt;=0,OR(F$12=0,F$12=1)),COUNT(K86,J86)=2),K86+J86*F$10/12*(1-F$12),"n.a.")</x:f>
        <x:v>n.a.</x:v>
      </x:c>
      <x:c r="L87" s="89" t="str">
        <x:f>IF(AND(COUNT(F$7:F$12)=6,F$7&gt;=0,F$8&gt;=0,F$9&gt;-1,F$10&gt;=0,F$11&gt;=0,OR(F$12=0,F$12=1)),F$7+54*F$8,"n.a.")</x:f>
        <x:v>n.a.</x:v>
      </x:c>
    </x:row>
    <x:row r="88">
      <x:c r="C88" t="n">
        <x:v>55</x:v>
      </x:c>
      <x:c r="D88" s="89" t="str">
        <x:f>IF(AND(AND(COUNT(D$7:D$12)=6,D$7&gt;=0,D$8&gt;=0,D$9&gt;-1,D$10&gt;=0,D$11&gt;=0,OR(D$12=0,D$12=1)),ISNUMBER(D87)),D87*((1+D$9)^(1/12)+D$10/12*D$12-D$11/12)+D$8,"n.a.")</x:f>
        <x:v>n.a.</x:v>
      </x:c>
      <x:c r="E88" s="89" t="str">
        <x:f>IF(AND(AND(COUNT(D$7:D$12)=6,D$7&gt;=0,D$8&gt;=0,D$9&gt;-1,D$10&gt;=0,D$11&gt;=0,OR(D$12=0,D$12=1)),COUNT(E87,D87)=2),E87+D87*D$10/12*(1-D$12),"n.a.")</x:f>
        <x:v>n.a.</x:v>
      </x:c>
      <x:c r="F88" s="89" t="str">
        <x:f>IF(AND(COUNT(D$7:D$12)=6,D$7&gt;=0,D$8&gt;=0,D$9&gt;-1,D$10&gt;=0,D$11&gt;=0,OR(D$12=0,D$12=1)),D$7+55*D$8,"n.a.")</x:f>
        <x:v>n.a.</x:v>
      </x:c>
      <x:c r="G88" s="89" t="str">
        <x:f>IF(AND(AND(COUNT(E$7:E$12)=6,E$7&gt;=0,E$8&gt;=0,E$9&gt;-1,E$10&gt;=0,E$11&gt;=0,OR(E$12=0,E$12=1)),ISNUMBER(G87)),G87*((1+E$9)^(1/12)+E$10/12*E$12-E$11/12)+E$8,"n.a.")</x:f>
        <x:v>n.a.</x:v>
      </x:c>
      <x:c r="H88" s="89" t="str">
        <x:f>IF(AND(AND(COUNT(E$7:E$12)=6,E$7&gt;=0,E$8&gt;=0,E$9&gt;-1,E$10&gt;=0,E$11&gt;=0,OR(E$12=0,E$12=1)),COUNT(H87,G87)=2),H87+G87*E$10/12*(1-E$12),"n.a.")</x:f>
        <x:v>n.a.</x:v>
      </x:c>
      <x:c r="I88" s="89" t="str">
        <x:f>IF(AND(COUNT(E$7:E$12)=6,E$7&gt;=0,E$8&gt;=0,E$9&gt;-1,E$10&gt;=0,E$11&gt;=0,OR(E$12=0,E$12=1)),E$7+55*E$8,"n.a.")</x:f>
        <x:v>n.a.</x:v>
      </x:c>
      <x:c r="J88" s="89" t="str">
        <x:f>IF(AND(AND(COUNT(F$7:F$12)=6,F$7&gt;=0,F$8&gt;=0,F$9&gt;-1,F$10&gt;=0,F$11&gt;=0,OR(F$12=0,F$12=1)),ISNUMBER(J87)),J87*((1+F$9)^(1/12)+F$10/12*F$12-F$11/12)+F$8,"n.a.")</x:f>
        <x:v>n.a.</x:v>
      </x:c>
      <x:c r="K88" s="89" t="str">
        <x:f>IF(AND(AND(COUNT(F$7:F$12)=6,F$7&gt;=0,F$8&gt;=0,F$9&gt;-1,F$10&gt;=0,F$11&gt;=0,OR(F$12=0,F$12=1)),COUNT(K87,J87)=2),K87+J87*F$10/12*(1-F$12),"n.a.")</x:f>
        <x:v>n.a.</x:v>
      </x:c>
      <x:c r="L88" s="89" t="str">
        <x:f>IF(AND(COUNT(F$7:F$12)=6,F$7&gt;=0,F$8&gt;=0,F$9&gt;-1,F$10&gt;=0,F$11&gt;=0,OR(F$12=0,F$12=1)),F$7+55*F$8,"n.a.")</x:f>
        <x:v>n.a.</x:v>
      </x:c>
    </x:row>
    <x:row r="89">
      <x:c r="C89" t="n">
        <x:v>56</x:v>
      </x:c>
      <x:c r="D89" s="89" t="str">
        <x:f>IF(AND(AND(COUNT(D$7:D$12)=6,D$7&gt;=0,D$8&gt;=0,D$9&gt;-1,D$10&gt;=0,D$11&gt;=0,OR(D$12=0,D$12=1)),ISNUMBER(D88)),D88*((1+D$9)^(1/12)+D$10/12*D$12-D$11/12)+D$8,"n.a.")</x:f>
        <x:v>n.a.</x:v>
      </x:c>
      <x:c r="E89" s="89" t="str">
        <x:f>IF(AND(AND(COUNT(D$7:D$12)=6,D$7&gt;=0,D$8&gt;=0,D$9&gt;-1,D$10&gt;=0,D$11&gt;=0,OR(D$12=0,D$12=1)),COUNT(E88,D88)=2),E88+D88*D$10/12*(1-D$12),"n.a.")</x:f>
        <x:v>n.a.</x:v>
      </x:c>
      <x:c r="F89" s="89" t="str">
        <x:f>IF(AND(COUNT(D$7:D$12)=6,D$7&gt;=0,D$8&gt;=0,D$9&gt;-1,D$10&gt;=0,D$11&gt;=0,OR(D$12=0,D$12=1)),D$7+56*D$8,"n.a.")</x:f>
        <x:v>n.a.</x:v>
      </x:c>
      <x:c r="G89" s="89" t="str">
        <x:f>IF(AND(AND(COUNT(E$7:E$12)=6,E$7&gt;=0,E$8&gt;=0,E$9&gt;-1,E$10&gt;=0,E$11&gt;=0,OR(E$12=0,E$12=1)),ISNUMBER(G88)),G88*((1+E$9)^(1/12)+E$10/12*E$12-E$11/12)+E$8,"n.a.")</x:f>
        <x:v>n.a.</x:v>
      </x:c>
      <x:c r="H89" s="89" t="str">
        <x:f>IF(AND(AND(COUNT(E$7:E$12)=6,E$7&gt;=0,E$8&gt;=0,E$9&gt;-1,E$10&gt;=0,E$11&gt;=0,OR(E$12=0,E$12=1)),COUNT(H88,G88)=2),H88+G88*E$10/12*(1-E$12),"n.a.")</x:f>
        <x:v>n.a.</x:v>
      </x:c>
      <x:c r="I89" s="89" t="str">
        <x:f>IF(AND(COUNT(E$7:E$12)=6,E$7&gt;=0,E$8&gt;=0,E$9&gt;-1,E$10&gt;=0,E$11&gt;=0,OR(E$12=0,E$12=1)),E$7+56*E$8,"n.a.")</x:f>
        <x:v>n.a.</x:v>
      </x:c>
      <x:c r="J89" s="89" t="str">
        <x:f>IF(AND(AND(COUNT(F$7:F$12)=6,F$7&gt;=0,F$8&gt;=0,F$9&gt;-1,F$10&gt;=0,F$11&gt;=0,OR(F$12=0,F$12=1)),ISNUMBER(J88)),J88*((1+F$9)^(1/12)+F$10/12*F$12-F$11/12)+F$8,"n.a.")</x:f>
        <x:v>n.a.</x:v>
      </x:c>
      <x:c r="K89" s="89" t="str">
        <x:f>IF(AND(AND(COUNT(F$7:F$12)=6,F$7&gt;=0,F$8&gt;=0,F$9&gt;-1,F$10&gt;=0,F$11&gt;=0,OR(F$12=0,F$12=1)),COUNT(K88,J88)=2),K88+J88*F$10/12*(1-F$12),"n.a.")</x:f>
        <x:v>n.a.</x:v>
      </x:c>
      <x:c r="L89" s="89" t="str">
        <x:f>IF(AND(COUNT(F$7:F$12)=6,F$7&gt;=0,F$8&gt;=0,F$9&gt;-1,F$10&gt;=0,F$11&gt;=0,OR(F$12=0,F$12=1)),F$7+56*F$8,"n.a.")</x:f>
        <x:v>n.a.</x:v>
      </x:c>
    </x:row>
    <x:row r="90">
      <x:c r="C90" t="n">
        <x:v>57</x:v>
      </x:c>
      <x:c r="D90" s="89" t="str">
        <x:f>IF(AND(AND(COUNT(D$7:D$12)=6,D$7&gt;=0,D$8&gt;=0,D$9&gt;-1,D$10&gt;=0,D$11&gt;=0,OR(D$12=0,D$12=1)),ISNUMBER(D89)),D89*((1+D$9)^(1/12)+D$10/12*D$12-D$11/12)+D$8,"n.a.")</x:f>
        <x:v>n.a.</x:v>
      </x:c>
      <x:c r="E90" s="89" t="str">
        <x:f>IF(AND(AND(COUNT(D$7:D$12)=6,D$7&gt;=0,D$8&gt;=0,D$9&gt;-1,D$10&gt;=0,D$11&gt;=0,OR(D$12=0,D$12=1)),COUNT(E89,D89)=2),E89+D89*D$10/12*(1-D$12),"n.a.")</x:f>
        <x:v>n.a.</x:v>
      </x:c>
      <x:c r="F90" s="89" t="str">
        <x:f>IF(AND(COUNT(D$7:D$12)=6,D$7&gt;=0,D$8&gt;=0,D$9&gt;-1,D$10&gt;=0,D$11&gt;=0,OR(D$12=0,D$12=1)),D$7+57*D$8,"n.a.")</x:f>
        <x:v>n.a.</x:v>
      </x:c>
      <x:c r="G90" s="89" t="str">
        <x:f>IF(AND(AND(COUNT(E$7:E$12)=6,E$7&gt;=0,E$8&gt;=0,E$9&gt;-1,E$10&gt;=0,E$11&gt;=0,OR(E$12=0,E$12=1)),ISNUMBER(G89)),G89*((1+E$9)^(1/12)+E$10/12*E$12-E$11/12)+E$8,"n.a.")</x:f>
        <x:v>n.a.</x:v>
      </x:c>
      <x:c r="H90" s="89" t="str">
        <x:f>IF(AND(AND(COUNT(E$7:E$12)=6,E$7&gt;=0,E$8&gt;=0,E$9&gt;-1,E$10&gt;=0,E$11&gt;=0,OR(E$12=0,E$12=1)),COUNT(H89,G89)=2),H89+G89*E$10/12*(1-E$12),"n.a.")</x:f>
        <x:v>n.a.</x:v>
      </x:c>
      <x:c r="I90" s="89" t="str">
        <x:f>IF(AND(COUNT(E$7:E$12)=6,E$7&gt;=0,E$8&gt;=0,E$9&gt;-1,E$10&gt;=0,E$11&gt;=0,OR(E$12=0,E$12=1)),E$7+57*E$8,"n.a.")</x:f>
        <x:v>n.a.</x:v>
      </x:c>
      <x:c r="J90" s="89" t="str">
        <x:f>IF(AND(AND(COUNT(F$7:F$12)=6,F$7&gt;=0,F$8&gt;=0,F$9&gt;-1,F$10&gt;=0,F$11&gt;=0,OR(F$12=0,F$12=1)),ISNUMBER(J89)),J89*((1+F$9)^(1/12)+F$10/12*F$12-F$11/12)+F$8,"n.a.")</x:f>
        <x:v>n.a.</x:v>
      </x:c>
      <x:c r="K90" s="89" t="str">
        <x:f>IF(AND(AND(COUNT(F$7:F$12)=6,F$7&gt;=0,F$8&gt;=0,F$9&gt;-1,F$10&gt;=0,F$11&gt;=0,OR(F$12=0,F$12=1)),COUNT(K89,J89)=2),K89+J89*F$10/12*(1-F$12),"n.a.")</x:f>
        <x:v>n.a.</x:v>
      </x:c>
      <x:c r="L90" s="89" t="str">
        <x:f>IF(AND(COUNT(F$7:F$12)=6,F$7&gt;=0,F$8&gt;=0,F$9&gt;-1,F$10&gt;=0,F$11&gt;=0,OR(F$12=0,F$12=1)),F$7+57*F$8,"n.a.")</x:f>
        <x:v>n.a.</x:v>
      </x:c>
    </x:row>
    <x:row r="91">
      <x:c r="C91" t="n">
        <x:v>58</x:v>
      </x:c>
      <x:c r="D91" s="89" t="str">
        <x:f>IF(AND(AND(COUNT(D$7:D$12)=6,D$7&gt;=0,D$8&gt;=0,D$9&gt;-1,D$10&gt;=0,D$11&gt;=0,OR(D$12=0,D$12=1)),ISNUMBER(D90)),D90*((1+D$9)^(1/12)+D$10/12*D$12-D$11/12)+D$8,"n.a.")</x:f>
        <x:v>n.a.</x:v>
      </x:c>
      <x:c r="E91" s="89" t="str">
        <x:f>IF(AND(AND(COUNT(D$7:D$12)=6,D$7&gt;=0,D$8&gt;=0,D$9&gt;-1,D$10&gt;=0,D$11&gt;=0,OR(D$12=0,D$12=1)),COUNT(E90,D90)=2),E90+D90*D$10/12*(1-D$12),"n.a.")</x:f>
        <x:v>n.a.</x:v>
      </x:c>
      <x:c r="F91" s="89" t="str">
        <x:f>IF(AND(COUNT(D$7:D$12)=6,D$7&gt;=0,D$8&gt;=0,D$9&gt;-1,D$10&gt;=0,D$11&gt;=0,OR(D$12=0,D$12=1)),D$7+58*D$8,"n.a.")</x:f>
        <x:v>n.a.</x:v>
      </x:c>
      <x:c r="G91" s="89" t="str">
        <x:f>IF(AND(AND(COUNT(E$7:E$12)=6,E$7&gt;=0,E$8&gt;=0,E$9&gt;-1,E$10&gt;=0,E$11&gt;=0,OR(E$12=0,E$12=1)),ISNUMBER(G90)),G90*((1+E$9)^(1/12)+E$10/12*E$12-E$11/12)+E$8,"n.a.")</x:f>
        <x:v>n.a.</x:v>
      </x:c>
      <x:c r="H91" s="89" t="str">
        <x:f>IF(AND(AND(COUNT(E$7:E$12)=6,E$7&gt;=0,E$8&gt;=0,E$9&gt;-1,E$10&gt;=0,E$11&gt;=0,OR(E$12=0,E$12=1)),COUNT(H90,G90)=2),H90+G90*E$10/12*(1-E$12),"n.a.")</x:f>
        <x:v>n.a.</x:v>
      </x:c>
      <x:c r="I91" s="89" t="str">
        <x:f>IF(AND(COUNT(E$7:E$12)=6,E$7&gt;=0,E$8&gt;=0,E$9&gt;-1,E$10&gt;=0,E$11&gt;=0,OR(E$12=0,E$12=1)),E$7+58*E$8,"n.a.")</x:f>
        <x:v>n.a.</x:v>
      </x:c>
      <x:c r="J91" s="89" t="str">
        <x:f>IF(AND(AND(COUNT(F$7:F$12)=6,F$7&gt;=0,F$8&gt;=0,F$9&gt;-1,F$10&gt;=0,F$11&gt;=0,OR(F$12=0,F$12=1)),ISNUMBER(J90)),J90*((1+F$9)^(1/12)+F$10/12*F$12-F$11/12)+F$8,"n.a.")</x:f>
        <x:v>n.a.</x:v>
      </x:c>
      <x:c r="K91" s="89" t="str">
        <x:f>IF(AND(AND(COUNT(F$7:F$12)=6,F$7&gt;=0,F$8&gt;=0,F$9&gt;-1,F$10&gt;=0,F$11&gt;=0,OR(F$12=0,F$12=1)),COUNT(K90,J90)=2),K90+J90*F$10/12*(1-F$12),"n.a.")</x:f>
        <x:v>n.a.</x:v>
      </x:c>
      <x:c r="L91" s="89" t="str">
        <x:f>IF(AND(COUNT(F$7:F$12)=6,F$7&gt;=0,F$8&gt;=0,F$9&gt;-1,F$10&gt;=0,F$11&gt;=0,OR(F$12=0,F$12=1)),F$7+58*F$8,"n.a.")</x:f>
        <x:v>n.a.</x:v>
      </x:c>
    </x:row>
    <x:row r="92">
      <x:c r="C92" t="n">
        <x:v>59</x:v>
      </x:c>
      <x:c r="D92" s="89" t="str">
        <x:f>IF(AND(AND(COUNT(D$7:D$12)=6,D$7&gt;=0,D$8&gt;=0,D$9&gt;-1,D$10&gt;=0,D$11&gt;=0,OR(D$12=0,D$12=1)),ISNUMBER(D91)),D91*((1+D$9)^(1/12)+D$10/12*D$12-D$11/12)+D$8,"n.a.")</x:f>
        <x:v>n.a.</x:v>
      </x:c>
      <x:c r="E92" s="89" t="str">
        <x:f>IF(AND(AND(COUNT(D$7:D$12)=6,D$7&gt;=0,D$8&gt;=0,D$9&gt;-1,D$10&gt;=0,D$11&gt;=0,OR(D$12=0,D$12=1)),COUNT(E91,D91)=2),E91+D91*D$10/12*(1-D$12),"n.a.")</x:f>
        <x:v>n.a.</x:v>
      </x:c>
      <x:c r="F92" s="89" t="str">
        <x:f>IF(AND(COUNT(D$7:D$12)=6,D$7&gt;=0,D$8&gt;=0,D$9&gt;-1,D$10&gt;=0,D$11&gt;=0,OR(D$12=0,D$12=1)),D$7+59*D$8,"n.a.")</x:f>
        <x:v>n.a.</x:v>
      </x:c>
      <x:c r="G92" s="89" t="str">
        <x:f>IF(AND(AND(COUNT(E$7:E$12)=6,E$7&gt;=0,E$8&gt;=0,E$9&gt;-1,E$10&gt;=0,E$11&gt;=0,OR(E$12=0,E$12=1)),ISNUMBER(G91)),G91*((1+E$9)^(1/12)+E$10/12*E$12-E$11/12)+E$8,"n.a.")</x:f>
        <x:v>n.a.</x:v>
      </x:c>
      <x:c r="H92" s="89" t="str">
        <x:f>IF(AND(AND(COUNT(E$7:E$12)=6,E$7&gt;=0,E$8&gt;=0,E$9&gt;-1,E$10&gt;=0,E$11&gt;=0,OR(E$12=0,E$12=1)),COUNT(H91,G91)=2),H91+G91*E$10/12*(1-E$12),"n.a.")</x:f>
        <x:v>n.a.</x:v>
      </x:c>
      <x:c r="I92" s="89" t="str">
        <x:f>IF(AND(COUNT(E$7:E$12)=6,E$7&gt;=0,E$8&gt;=0,E$9&gt;-1,E$10&gt;=0,E$11&gt;=0,OR(E$12=0,E$12=1)),E$7+59*E$8,"n.a.")</x:f>
        <x:v>n.a.</x:v>
      </x:c>
      <x:c r="J92" s="89" t="str">
        <x:f>IF(AND(AND(COUNT(F$7:F$12)=6,F$7&gt;=0,F$8&gt;=0,F$9&gt;-1,F$10&gt;=0,F$11&gt;=0,OR(F$12=0,F$12=1)),ISNUMBER(J91)),J91*((1+F$9)^(1/12)+F$10/12*F$12-F$11/12)+F$8,"n.a.")</x:f>
        <x:v>n.a.</x:v>
      </x:c>
      <x:c r="K92" s="89" t="str">
        <x:f>IF(AND(AND(COUNT(F$7:F$12)=6,F$7&gt;=0,F$8&gt;=0,F$9&gt;-1,F$10&gt;=0,F$11&gt;=0,OR(F$12=0,F$12=1)),COUNT(K91,J91)=2),K91+J91*F$10/12*(1-F$12),"n.a.")</x:f>
        <x:v>n.a.</x:v>
      </x:c>
      <x:c r="L92" s="89" t="str">
        <x:f>IF(AND(COUNT(F$7:F$12)=6,F$7&gt;=0,F$8&gt;=0,F$9&gt;-1,F$10&gt;=0,F$11&gt;=0,OR(F$12=0,F$12=1)),F$7+59*F$8,"n.a.")</x:f>
        <x:v>n.a.</x:v>
      </x:c>
    </x:row>
    <x:row r="93">
      <x:c r="C93" t="n">
        <x:v>60</x:v>
      </x:c>
      <x:c r="D93" s="89" t="str">
        <x:f>IF(AND(AND(COUNT(D$7:D$12)=6,D$7&gt;=0,D$8&gt;=0,D$9&gt;-1,D$10&gt;=0,D$11&gt;=0,OR(D$12=0,D$12=1)),ISNUMBER(D92)),D92*((1+D$9)^(1/12)+D$10/12*D$12-D$11/12)+D$8,"n.a.")</x:f>
        <x:v>n.a.</x:v>
      </x:c>
      <x:c r="E93" s="89" t="str">
        <x:f>IF(AND(AND(COUNT(D$7:D$12)=6,D$7&gt;=0,D$8&gt;=0,D$9&gt;-1,D$10&gt;=0,D$11&gt;=0,OR(D$12=0,D$12=1)),COUNT(E92,D92)=2),E92+D92*D$10/12*(1-D$12),"n.a.")</x:f>
        <x:v>n.a.</x:v>
      </x:c>
      <x:c r="F93" s="89" t="str">
        <x:f>IF(AND(COUNT(D$7:D$12)=6,D$7&gt;=0,D$8&gt;=0,D$9&gt;-1,D$10&gt;=0,D$11&gt;=0,OR(D$12=0,D$12=1)),D$7+60*D$8,"n.a.")</x:f>
        <x:v>n.a.</x:v>
      </x:c>
      <x:c r="G93" s="89" t="str">
        <x:f>IF(AND(AND(COUNT(E$7:E$12)=6,E$7&gt;=0,E$8&gt;=0,E$9&gt;-1,E$10&gt;=0,E$11&gt;=0,OR(E$12=0,E$12=1)),ISNUMBER(G92)),G92*((1+E$9)^(1/12)+E$10/12*E$12-E$11/12)+E$8,"n.a.")</x:f>
        <x:v>n.a.</x:v>
      </x:c>
      <x:c r="H93" s="89" t="str">
        <x:f>IF(AND(AND(COUNT(E$7:E$12)=6,E$7&gt;=0,E$8&gt;=0,E$9&gt;-1,E$10&gt;=0,E$11&gt;=0,OR(E$12=0,E$12=1)),COUNT(H92,G92)=2),H92+G92*E$10/12*(1-E$12),"n.a.")</x:f>
        <x:v>n.a.</x:v>
      </x:c>
      <x:c r="I93" s="89" t="str">
        <x:f>IF(AND(COUNT(E$7:E$12)=6,E$7&gt;=0,E$8&gt;=0,E$9&gt;-1,E$10&gt;=0,E$11&gt;=0,OR(E$12=0,E$12=1)),E$7+60*E$8,"n.a.")</x:f>
        <x:v>n.a.</x:v>
      </x:c>
      <x:c r="J93" s="89" t="str">
        <x:f>IF(AND(AND(COUNT(F$7:F$12)=6,F$7&gt;=0,F$8&gt;=0,F$9&gt;-1,F$10&gt;=0,F$11&gt;=0,OR(F$12=0,F$12=1)),ISNUMBER(J92)),J92*((1+F$9)^(1/12)+F$10/12*F$12-F$11/12)+F$8,"n.a.")</x:f>
        <x:v>n.a.</x:v>
      </x:c>
      <x:c r="K93" s="89" t="str">
        <x:f>IF(AND(AND(COUNT(F$7:F$12)=6,F$7&gt;=0,F$8&gt;=0,F$9&gt;-1,F$10&gt;=0,F$11&gt;=0,OR(F$12=0,F$12=1)),COUNT(K92,J92)=2),K92+J92*F$10/12*(1-F$12),"n.a.")</x:f>
        <x:v>n.a.</x:v>
      </x:c>
      <x:c r="L93" s="89" t="str">
        <x:f>IF(AND(COUNT(F$7:F$12)=6,F$7&gt;=0,F$8&gt;=0,F$9&gt;-1,F$10&gt;=0,F$11&gt;=0,OR(F$12=0,F$12=1)),F$7+60*F$8,"n.a.")</x:f>
        <x:v>n.a.</x:v>
      </x:c>
    </x:row>
    <x:row r="94">
      <x:c r="C94" t="n">
        <x:v>61</x:v>
      </x:c>
      <x:c r="D94" s="89" t="str">
        <x:f>IF(AND(AND(COUNT(D$7:D$12)=6,D$7&gt;=0,D$8&gt;=0,D$9&gt;-1,D$10&gt;=0,D$11&gt;=0,OR(D$12=0,D$12=1)),ISNUMBER(D93)),D93*((1+D$9)^(1/12)+D$10/12*D$12-D$11/12)+D$8,"n.a.")</x:f>
        <x:v>n.a.</x:v>
      </x:c>
      <x:c r="E94" s="89" t="str">
        <x:f>IF(AND(AND(COUNT(D$7:D$12)=6,D$7&gt;=0,D$8&gt;=0,D$9&gt;-1,D$10&gt;=0,D$11&gt;=0,OR(D$12=0,D$12=1)),COUNT(E93,D93)=2),E93+D93*D$10/12*(1-D$12),"n.a.")</x:f>
        <x:v>n.a.</x:v>
      </x:c>
      <x:c r="F94" s="89" t="str">
        <x:f>IF(AND(COUNT(D$7:D$12)=6,D$7&gt;=0,D$8&gt;=0,D$9&gt;-1,D$10&gt;=0,D$11&gt;=0,OR(D$12=0,D$12=1)),D$7+61*D$8,"n.a.")</x:f>
        <x:v>n.a.</x:v>
      </x:c>
      <x:c r="G94" s="89" t="str">
        <x:f>IF(AND(AND(COUNT(E$7:E$12)=6,E$7&gt;=0,E$8&gt;=0,E$9&gt;-1,E$10&gt;=0,E$11&gt;=0,OR(E$12=0,E$12=1)),ISNUMBER(G93)),G93*((1+E$9)^(1/12)+E$10/12*E$12-E$11/12)+E$8,"n.a.")</x:f>
        <x:v>n.a.</x:v>
      </x:c>
      <x:c r="H94" s="89" t="str">
        <x:f>IF(AND(AND(COUNT(E$7:E$12)=6,E$7&gt;=0,E$8&gt;=0,E$9&gt;-1,E$10&gt;=0,E$11&gt;=0,OR(E$12=0,E$12=1)),COUNT(H93,G93)=2),H93+G93*E$10/12*(1-E$12),"n.a.")</x:f>
        <x:v>n.a.</x:v>
      </x:c>
      <x:c r="I94" s="89" t="str">
        <x:f>IF(AND(COUNT(E$7:E$12)=6,E$7&gt;=0,E$8&gt;=0,E$9&gt;-1,E$10&gt;=0,E$11&gt;=0,OR(E$12=0,E$12=1)),E$7+61*E$8,"n.a.")</x:f>
        <x:v>n.a.</x:v>
      </x:c>
      <x:c r="J94" s="89" t="str">
        <x:f>IF(AND(AND(COUNT(F$7:F$12)=6,F$7&gt;=0,F$8&gt;=0,F$9&gt;-1,F$10&gt;=0,F$11&gt;=0,OR(F$12=0,F$12=1)),ISNUMBER(J93)),J93*((1+F$9)^(1/12)+F$10/12*F$12-F$11/12)+F$8,"n.a.")</x:f>
        <x:v>n.a.</x:v>
      </x:c>
      <x:c r="K94" s="89" t="str">
        <x:f>IF(AND(AND(COUNT(F$7:F$12)=6,F$7&gt;=0,F$8&gt;=0,F$9&gt;-1,F$10&gt;=0,F$11&gt;=0,OR(F$12=0,F$12=1)),COUNT(K93,J93)=2),K93+J93*F$10/12*(1-F$12),"n.a.")</x:f>
        <x:v>n.a.</x:v>
      </x:c>
      <x:c r="L94" s="89" t="str">
        <x:f>IF(AND(COUNT(F$7:F$12)=6,F$7&gt;=0,F$8&gt;=0,F$9&gt;-1,F$10&gt;=0,F$11&gt;=0,OR(F$12=0,F$12=1)),F$7+61*F$8,"n.a.")</x:f>
        <x:v>n.a.</x:v>
      </x:c>
    </x:row>
    <x:row r="95">
      <x:c r="C95" t="n">
        <x:v>62</x:v>
      </x:c>
      <x:c r="D95" s="89" t="str">
        <x:f>IF(AND(AND(COUNT(D$7:D$12)=6,D$7&gt;=0,D$8&gt;=0,D$9&gt;-1,D$10&gt;=0,D$11&gt;=0,OR(D$12=0,D$12=1)),ISNUMBER(D94)),D94*((1+D$9)^(1/12)+D$10/12*D$12-D$11/12)+D$8,"n.a.")</x:f>
        <x:v>n.a.</x:v>
      </x:c>
      <x:c r="E95" s="89" t="str">
        <x:f>IF(AND(AND(COUNT(D$7:D$12)=6,D$7&gt;=0,D$8&gt;=0,D$9&gt;-1,D$10&gt;=0,D$11&gt;=0,OR(D$12=0,D$12=1)),COUNT(E94,D94)=2),E94+D94*D$10/12*(1-D$12),"n.a.")</x:f>
        <x:v>n.a.</x:v>
      </x:c>
      <x:c r="F95" s="89" t="str">
        <x:f>IF(AND(COUNT(D$7:D$12)=6,D$7&gt;=0,D$8&gt;=0,D$9&gt;-1,D$10&gt;=0,D$11&gt;=0,OR(D$12=0,D$12=1)),D$7+62*D$8,"n.a.")</x:f>
        <x:v>n.a.</x:v>
      </x:c>
      <x:c r="G95" s="89" t="str">
        <x:f>IF(AND(AND(COUNT(E$7:E$12)=6,E$7&gt;=0,E$8&gt;=0,E$9&gt;-1,E$10&gt;=0,E$11&gt;=0,OR(E$12=0,E$12=1)),ISNUMBER(G94)),G94*((1+E$9)^(1/12)+E$10/12*E$12-E$11/12)+E$8,"n.a.")</x:f>
        <x:v>n.a.</x:v>
      </x:c>
      <x:c r="H95" s="89" t="str">
        <x:f>IF(AND(AND(COUNT(E$7:E$12)=6,E$7&gt;=0,E$8&gt;=0,E$9&gt;-1,E$10&gt;=0,E$11&gt;=0,OR(E$12=0,E$12=1)),COUNT(H94,G94)=2),H94+G94*E$10/12*(1-E$12),"n.a.")</x:f>
        <x:v>n.a.</x:v>
      </x:c>
      <x:c r="I95" s="89" t="str">
        <x:f>IF(AND(COUNT(E$7:E$12)=6,E$7&gt;=0,E$8&gt;=0,E$9&gt;-1,E$10&gt;=0,E$11&gt;=0,OR(E$12=0,E$12=1)),E$7+62*E$8,"n.a.")</x:f>
        <x:v>n.a.</x:v>
      </x:c>
      <x:c r="J95" s="89" t="str">
        <x:f>IF(AND(AND(COUNT(F$7:F$12)=6,F$7&gt;=0,F$8&gt;=0,F$9&gt;-1,F$10&gt;=0,F$11&gt;=0,OR(F$12=0,F$12=1)),ISNUMBER(J94)),J94*((1+F$9)^(1/12)+F$10/12*F$12-F$11/12)+F$8,"n.a.")</x:f>
        <x:v>n.a.</x:v>
      </x:c>
      <x:c r="K95" s="89" t="str">
        <x:f>IF(AND(AND(COUNT(F$7:F$12)=6,F$7&gt;=0,F$8&gt;=0,F$9&gt;-1,F$10&gt;=0,F$11&gt;=0,OR(F$12=0,F$12=1)),COUNT(K94,J94)=2),K94+J94*F$10/12*(1-F$12),"n.a.")</x:f>
        <x:v>n.a.</x:v>
      </x:c>
      <x:c r="L95" s="89" t="str">
        <x:f>IF(AND(COUNT(F$7:F$12)=6,F$7&gt;=0,F$8&gt;=0,F$9&gt;-1,F$10&gt;=0,F$11&gt;=0,OR(F$12=0,F$12=1)),F$7+62*F$8,"n.a.")</x:f>
        <x:v>n.a.</x:v>
      </x:c>
    </x:row>
    <x:row r="96">
      <x:c r="C96" t="n">
        <x:v>63</x:v>
      </x:c>
      <x:c r="D96" s="89" t="str">
        <x:f>IF(AND(AND(COUNT(D$7:D$12)=6,D$7&gt;=0,D$8&gt;=0,D$9&gt;-1,D$10&gt;=0,D$11&gt;=0,OR(D$12=0,D$12=1)),ISNUMBER(D95)),D95*((1+D$9)^(1/12)+D$10/12*D$12-D$11/12)+D$8,"n.a.")</x:f>
        <x:v>n.a.</x:v>
      </x:c>
      <x:c r="E96" s="89" t="str">
        <x:f>IF(AND(AND(COUNT(D$7:D$12)=6,D$7&gt;=0,D$8&gt;=0,D$9&gt;-1,D$10&gt;=0,D$11&gt;=0,OR(D$12=0,D$12=1)),COUNT(E95,D95)=2),E95+D95*D$10/12*(1-D$12),"n.a.")</x:f>
        <x:v>n.a.</x:v>
      </x:c>
      <x:c r="F96" s="89" t="str">
        <x:f>IF(AND(COUNT(D$7:D$12)=6,D$7&gt;=0,D$8&gt;=0,D$9&gt;-1,D$10&gt;=0,D$11&gt;=0,OR(D$12=0,D$12=1)),D$7+63*D$8,"n.a.")</x:f>
        <x:v>n.a.</x:v>
      </x:c>
      <x:c r="G96" s="89" t="str">
        <x:f>IF(AND(AND(COUNT(E$7:E$12)=6,E$7&gt;=0,E$8&gt;=0,E$9&gt;-1,E$10&gt;=0,E$11&gt;=0,OR(E$12=0,E$12=1)),ISNUMBER(G95)),G95*((1+E$9)^(1/12)+E$10/12*E$12-E$11/12)+E$8,"n.a.")</x:f>
        <x:v>n.a.</x:v>
      </x:c>
      <x:c r="H96" s="89" t="str">
        <x:f>IF(AND(AND(COUNT(E$7:E$12)=6,E$7&gt;=0,E$8&gt;=0,E$9&gt;-1,E$10&gt;=0,E$11&gt;=0,OR(E$12=0,E$12=1)),COUNT(H95,G95)=2),H95+G95*E$10/12*(1-E$12),"n.a.")</x:f>
        <x:v>n.a.</x:v>
      </x:c>
      <x:c r="I96" s="89" t="str">
        <x:f>IF(AND(COUNT(E$7:E$12)=6,E$7&gt;=0,E$8&gt;=0,E$9&gt;-1,E$10&gt;=0,E$11&gt;=0,OR(E$12=0,E$12=1)),E$7+63*E$8,"n.a.")</x:f>
        <x:v>n.a.</x:v>
      </x:c>
      <x:c r="J96" s="89" t="str">
        <x:f>IF(AND(AND(COUNT(F$7:F$12)=6,F$7&gt;=0,F$8&gt;=0,F$9&gt;-1,F$10&gt;=0,F$11&gt;=0,OR(F$12=0,F$12=1)),ISNUMBER(J95)),J95*((1+F$9)^(1/12)+F$10/12*F$12-F$11/12)+F$8,"n.a.")</x:f>
        <x:v>n.a.</x:v>
      </x:c>
      <x:c r="K96" s="89" t="str">
        <x:f>IF(AND(AND(COUNT(F$7:F$12)=6,F$7&gt;=0,F$8&gt;=0,F$9&gt;-1,F$10&gt;=0,F$11&gt;=0,OR(F$12=0,F$12=1)),COUNT(K95,J95)=2),K95+J95*F$10/12*(1-F$12),"n.a.")</x:f>
        <x:v>n.a.</x:v>
      </x:c>
      <x:c r="L96" s="89" t="str">
        <x:f>IF(AND(COUNT(F$7:F$12)=6,F$7&gt;=0,F$8&gt;=0,F$9&gt;-1,F$10&gt;=0,F$11&gt;=0,OR(F$12=0,F$12=1)),F$7+63*F$8,"n.a.")</x:f>
        <x:v>n.a.</x:v>
      </x:c>
    </x:row>
    <x:row r="97">
      <x:c r="C97" t="n">
        <x:v>64</x:v>
      </x:c>
      <x:c r="D97" s="89" t="str">
        <x:f>IF(AND(AND(COUNT(D$7:D$12)=6,D$7&gt;=0,D$8&gt;=0,D$9&gt;-1,D$10&gt;=0,D$11&gt;=0,OR(D$12=0,D$12=1)),ISNUMBER(D96)),D96*((1+D$9)^(1/12)+D$10/12*D$12-D$11/12)+D$8,"n.a.")</x:f>
        <x:v>n.a.</x:v>
      </x:c>
      <x:c r="E97" s="89" t="str">
        <x:f>IF(AND(AND(COUNT(D$7:D$12)=6,D$7&gt;=0,D$8&gt;=0,D$9&gt;-1,D$10&gt;=0,D$11&gt;=0,OR(D$12=0,D$12=1)),COUNT(E96,D96)=2),E96+D96*D$10/12*(1-D$12),"n.a.")</x:f>
        <x:v>n.a.</x:v>
      </x:c>
      <x:c r="F97" s="89" t="str">
        <x:f>IF(AND(COUNT(D$7:D$12)=6,D$7&gt;=0,D$8&gt;=0,D$9&gt;-1,D$10&gt;=0,D$11&gt;=0,OR(D$12=0,D$12=1)),D$7+64*D$8,"n.a.")</x:f>
        <x:v>n.a.</x:v>
      </x:c>
      <x:c r="G97" s="89" t="str">
        <x:f>IF(AND(AND(COUNT(E$7:E$12)=6,E$7&gt;=0,E$8&gt;=0,E$9&gt;-1,E$10&gt;=0,E$11&gt;=0,OR(E$12=0,E$12=1)),ISNUMBER(G96)),G96*((1+E$9)^(1/12)+E$10/12*E$12-E$11/12)+E$8,"n.a.")</x:f>
        <x:v>n.a.</x:v>
      </x:c>
      <x:c r="H97" s="89" t="str">
        <x:f>IF(AND(AND(COUNT(E$7:E$12)=6,E$7&gt;=0,E$8&gt;=0,E$9&gt;-1,E$10&gt;=0,E$11&gt;=0,OR(E$12=0,E$12=1)),COUNT(H96,G96)=2),H96+G96*E$10/12*(1-E$12),"n.a.")</x:f>
        <x:v>n.a.</x:v>
      </x:c>
      <x:c r="I97" s="89" t="str">
        <x:f>IF(AND(COUNT(E$7:E$12)=6,E$7&gt;=0,E$8&gt;=0,E$9&gt;-1,E$10&gt;=0,E$11&gt;=0,OR(E$12=0,E$12=1)),E$7+64*E$8,"n.a.")</x:f>
        <x:v>n.a.</x:v>
      </x:c>
      <x:c r="J97" s="89" t="str">
        <x:f>IF(AND(AND(COUNT(F$7:F$12)=6,F$7&gt;=0,F$8&gt;=0,F$9&gt;-1,F$10&gt;=0,F$11&gt;=0,OR(F$12=0,F$12=1)),ISNUMBER(J96)),J96*((1+F$9)^(1/12)+F$10/12*F$12-F$11/12)+F$8,"n.a.")</x:f>
        <x:v>n.a.</x:v>
      </x:c>
      <x:c r="K97" s="89" t="str">
        <x:f>IF(AND(AND(COUNT(F$7:F$12)=6,F$7&gt;=0,F$8&gt;=0,F$9&gt;-1,F$10&gt;=0,F$11&gt;=0,OR(F$12=0,F$12=1)),COUNT(K96,J96)=2),K96+J96*F$10/12*(1-F$12),"n.a.")</x:f>
        <x:v>n.a.</x:v>
      </x:c>
      <x:c r="L97" s="89" t="str">
        <x:f>IF(AND(COUNT(F$7:F$12)=6,F$7&gt;=0,F$8&gt;=0,F$9&gt;-1,F$10&gt;=0,F$11&gt;=0,OR(F$12=0,F$12=1)),F$7+64*F$8,"n.a.")</x:f>
        <x:v>n.a.</x:v>
      </x:c>
    </x:row>
    <x:row r="98">
      <x:c r="C98" t="n">
        <x:v>65</x:v>
      </x:c>
      <x:c r="D98" s="89" t="str">
        <x:f>IF(AND(AND(COUNT(D$7:D$12)=6,D$7&gt;=0,D$8&gt;=0,D$9&gt;-1,D$10&gt;=0,D$11&gt;=0,OR(D$12=0,D$12=1)),ISNUMBER(D97)),D97*((1+D$9)^(1/12)+D$10/12*D$12-D$11/12)+D$8,"n.a.")</x:f>
        <x:v>n.a.</x:v>
      </x:c>
      <x:c r="E98" s="89" t="str">
        <x:f>IF(AND(AND(COUNT(D$7:D$12)=6,D$7&gt;=0,D$8&gt;=0,D$9&gt;-1,D$10&gt;=0,D$11&gt;=0,OR(D$12=0,D$12=1)),COUNT(E97,D97)=2),E97+D97*D$10/12*(1-D$12),"n.a.")</x:f>
        <x:v>n.a.</x:v>
      </x:c>
      <x:c r="F98" s="89" t="str">
        <x:f>IF(AND(COUNT(D$7:D$12)=6,D$7&gt;=0,D$8&gt;=0,D$9&gt;-1,D$10&gt;=0,D$11&gt;=0,OR(D$12=0,D$12=1)),D$7+65*D$8,"n.a.")</x:f>
        <x:v>n.a.</x:v>
      </x:c>
      <x:c r="G98" s="89" t="str">
        <x:f>IF(AND(AND(COUNT(E$7:E$12)=6,E$7&gt;=0,E$8&gt;=0,E$9&gt;-1,E$10&gt;=0,E$11&gt;=0,OR(E$12=0,E$12=1)),ISNUMBER(G97)),G97*((1+E$9)^(1/12)+E$10/12*E$12-E$11/12)+E$8,"n.a.")</x:f>
        <x:v>n.a.</x:v>
      </x:c>
      <x:c r="H98" s="89" t="str">
        <x:f>IF(AND(AND(COUNT(E$7:E$12)=6,E$7&gt;=0,E$8&gt;=0,E$9&gt;-1,E$10&gt;=0,E$11&gt;=0,OR(E$12=0,E$12=1)),COUNT(H97,G97)=2),H97+G97*E$10/12*(1-E$12),"n.a.")</x:f>
        <x:v>n.a.</x:v>
      </x:c>
      <x:c r="I98" s="89" t="str">
        <x:f>IF(AND(COUNT(E$7:E$12)=6,E$7&gt;=0,E$8&gt;=0,E$9&gt;-1,E$10&gt;=0,E$11&gt;=0,OR(E$12=0,E$12=1)),E$7+65*E$8,"n.a.")</x:f>
        <x:v>n.a.</x:v>
      </x:c>
      <x:c r="J98" s="89" t="str">
        <x:f>IF(AND(AND(COUNT(F$7:F$12)=6,F$7&gt;=0,F$8&gt;=0,F$9&gt;-1,F$10&gt;=0,F$11&gt;=0,OR(F$12=0,F$12=1)),ISNUMBER(J97)),J97*((1+F$9)^(1/12)+F$10/12*F$12-F$11/12)+F$8,"n.a.")</x:f>
        <x:v>n.a.</x:v>
      </x:c>
      <x:c r="K98" s="89" t="str">
        <x:f>IF(AND(AND(COUNT(F$7:F$12)=6,F$7&gt;=0,F$8&gt;=0,F$9&gt;-1,F$10&gt;=0,F$11&gt;=0,OR(F$12=0,F$12=1)),COUNT(K97,J97)=2),K97+J97*F$10/12*(1-F$12),"n.a.")</x:f>
        <x:v>n.a.</x:v>
      </x:c>
      <x:c r="L98" s="89" t="str">
        <x:f>IF(AND(COUNT(F$7:F$12)=6,F$7&gt;=0,F$8&gt;=0,F$9&gt;-1,F$10&gt;=0,F$11&gt;=0,OR(F$12=0,F$12=1)),F$7+65*F$8,"n.a.")</x:f>
        <x:v>n.a.</x:v>
      </x:c>
    </x:row>
    <x:row r="99">
      <x:c r="C99" t="n">
        <x:v>66</x:v>
      </x:c>
      <x:c r="D99" s="89" t="str">
        <x:f>IF(AND(AND(COUNT(D$7:D$12)=6,D$7&gt;=0,D$8&gt;=0,D$9&gt;-1,D$10&gt;=0,D$11&gt;=0,OR(D$12=0,D$12=1)),ISNUMBER(D98)),D98*((1+D$9)^(1/12)+D$10/12*D$12-D$11/12)+D$8,"n.a.")</x:f>
        <x:v>n.a.</x:v>
      </x:c>
      <x:c r="E99" s="89" t="str">
        <x:f>IF(AND(AND(COUNT(D$7:D$12)=6,D$7&gt;=0,D$8&gt;=0,D$9&gt;-1,D$10&gt;=0,D$11&gt;=0,OR(D$12=0,D$12=1)),COUNT(E98,D98)=2),E98+D98*D$10/12*(1-D$12),"n.a.")</x:f>
        <x:v>n.a.</x:v>
      </x:c>
      <x:c r="F99" s="89" t="str">
        <x:f>IF(AND(COUNT(D$7:D$12)=6,D$7&gt;=0,D$8&gt;=0,D$9&gt;-1,D$10&gt;=0,D$11&gt;=0,OR(D$12=0,D$12=1)),D$7+66*D$8,"n.a.")</x:f>
        <x:v>n.a.</x:v>
      </x:c>
      <x:c r="G99" s="89" t="str">
        <x:f>IF(AND(AND(COUNT(E$7:E$12)=6,E$7&gt;=0,E$8&gt;=0,E$9&gt;-1,E$10&gt;=0,E$11&gt;=0,OR(E$12=0,E$12=1)),ISNUMBER(G98)),G98*((1+E$9)^(1/12)+E$10/12*E$12-E$11/12)+E$8,"n.a.")</x:f>
        <x:v>n.a.</x:v>
      </x:c>
      <x:c r="H99" s="89" t="str">
        <x:f>IF(AND(AND(COUNT(E$7:E$12)=6,E$7&gt;=0,E$8&gt;=0,E$9&gt;-1,E$10&gt;=0,E$11&gt;=0,OR(E$12=0,E$12=1)),COUNT(H98,G98)=2),H98+G98*E$10/12*(1-E$12),"n.a.")</x:f>
        <x:v>n.a.</x:v>
      </x:c>
      <x:c r="I99" s="89" t="str">
        <x:f>IF(AND(COUNT(E$7:E$12)=6,E$7&gt;=0,E$8&gt;=0,E$9&gt;-1,E$10&gt;=0,E$11&gt;=0,OR(E$12=0,E$12=1)),E$7+66*E$8,"n.a.")</x:f>
        <x:v>n.a.</x:v>
      </x:c>
      <x:c r="J99" s="89" t="str">
        <x:f>IF(AND(AND(COUNT(F$7:F$12)=6,F$7&gt;=0,F$8&gt;=0,F$9&gt;-1,F$10&gt;=0,F$11&gt;=0,OR(F$12=0,F$12=1)),ISNUMBER(J98)),J98*((1+F$9)^(1/12)+F$10/12*F$12-F$11/12)+F$8,"n.a.")</x:f>
        <x:v>n.a.</x:v>
      </x:c>
      <x:c r="K99" s="89" t="str">
        <x:f>IF(AND(AND(COUNT(F$7:F$12)=6,F$7&gt;=0,F$8&gt;=0,F$9&gt;-1,F$10&gt;=0,F$11&gt;=0,OR(F$12=0,F$12=1)),COUNT(K98,J98)=2),K98+J98*F$10/12*(1-F$12),"n.a.")</x:f>
        <x:v>n.a.</x:v>
      </x:c>
      <x:c r="L99" s="89" t="str">
        <x:f>IF(AND(COUNT(F$7:F$12)=6,F$7&gt;=0,F$8&gt;=0,F$9&gt;-1,F$10&gt;=0,F$11&gt;=0,OR(F$12=0,F$12=1)),F$7+66*F$8,"n.a.")</x:f>
        <x:v>n.a.</x:v>
      </x:c>
    </x:row>
    <x:row r="100">
      <x:c r="C100" t="n">
        <x:v>67</x:v>
      </x:c>
      <x:c r="D100" s="89" t="str">
        <x:f>IF(AND(AND(COUNT(D$7:D$12)=6,D$7&gt;=0,D$8&gt;=0,D$9&gt;-1,D$10&gt;=0,D$11&gt;=0,OR(D$12=0,D$12=1)),ISNUMBER(D99)),D99*((1+D$9)^(1/12)+D$10/12*D$12-D$11/12)+D$8,"n.a.")</x:f>
        <x:v>n.a.</x:v>
      </x:c>
      <x:c r="E100" s="89" t="str">
        <x:f>IF(AND(AND(COUNT(D$7:D$12)=6,D$7&gt;=0,D$8&gt;=0,D$9&gt;-1,D$10&gt;=0,D$11&gt;=0,OR(D$12=0,D$12=1)),COUNT(E99,D99)=2),E99+D99*D$10/12*(1-D$12),"n.a.")</x:f>
        <x:v>n.a.</x:v>
      </x:c>
      <x:c r="F100" s="89" t="str">
        <x:f>IF(AND(COUNT(D$7:D$12)=6,D$7&gt;=0,D$8&gt;=0,D$9&gt;-1,D$10&gt;=0,D$11&gt;=0,OR(D$12=0,D$12=1)),D$7+67*D$8,"n.a.")</x:f>
        <x:v>n.a.</x:v>
      </x:c>
      <x:c r="G100" s="89" t="str">
        <x:f>IF(AND(AND(COUNT(E$7:E$12)=6,E$7&gt;=0,E$8&gt;=0,E$9&gt;-1,E$10&gt;=0,E$11&gt;=0,OR(E$12=0,E$12=1)),ISNUMBER(G99)),G99*((1+E$9)^(1/12)+E$10/12*E$12-E$11/12)+E$8,"n.a.")</x:f>
        <x:v>n.a.</x:v>
      </x:c>
      <x:c r="H100" s="89" t="str">
        <x:f>IF(AND(AND(COUNT(E$7:E$12)=6,E$7&gt;=0,E$8&gt;=0,E$9&gt;-1,E$10&gt;=0,E$11&gt;=0,OR(E$12=0,E$12=1)),COUNT(H99,G99)=2),H99+G99*E$10/12*(1-E$12),"n.a.")</x:f>
        <x:v>n.a.</x:v>
      </x:c>
      <x:c r="I100" s="89" t="str">
        <x:f>IF(AND(COUNT(E$7:E$12)=6,E$7&gt;=0,E$8&gt;=0,E$9&gt;-1,E$10&gt;=0,E$11&gt;=0,OR(E$12=0,E$12=1)),E$7+67*E$8,"n.a.")</x:f>
        <x:v>n.a.</x:v>
      </x:c>
      <x:c r="J100" s="89" t="str">
        <x:f>IF(AND(AND(COUNT(F$7:F$12)=6,F$7&gt;=0,F$8&gt;=0,F$9&gt;-1,F$10&gt;=0,F$11&gt;=0,OR(F$12=0,F$12=1)),ISNUMBER(J99)),J99*((1+F$9)^(1/12)+F$10/12*F$12-F$11/12)+F$8,"n.a.")</x:f>
        <x:v>n.a.</x:v>
      </x:c>
      <x:c r="K100" s="89" t="str">
        <x:f>IF(AND(AND(COUNT(F$7:F$12)=6,F$7&gt;=0,F$8&gt;=0,F$9&gt;-1,F$10&gt;=0,F$11&gt;=0,OR(F$12=0,F$12=1)),COUNT(K99,J99)=2),K99+J99*F$10/12*(1-F$12),"n.a.")</x:f>
        <x:v>n.a.</x:v>
      </x:c>
      <x:c r="L100" s="89" t="str">
        <x:f>IF(AND(COUNT(F$7:F$12)=6,F$7&gt;=0,F$8&gt;=0,F$9&gt;-1,F$10&gt;=0,F$11&gt;=0,OR(F$12=0,F$12=1)),F$7+67*F$8,"n.a.")</x:f>
        <x:v>n.a.</x:v>
      </x:c>
    </x:row>
    <x:row r="101">
      <x:c r="C101" t="n">
        <x:v>68</x:v>
      </x:c>
      <x:c r="D101" s="89" t="str">
        <x:f>IF(AND(AND(COUNT(D$7:D$12)=6,D$7&gt;=0,D$8&gt;=0,D$9&gt;-1,D$10&gt;=0,D$11&gt;=0,OR(D$12=0,D$12=1)),ISNUMBER(D100)),D100*((1+D$9)^(1/12)+D$10/12*D$12-D$11/12)+D$8,"n.a.")</x:f>
        <x:v>n.a.</x:v>
      </x:c>
      <x:c r="E101" s="89" t="str">
        <x:f>IF(AND(AND(COUNT(D$7:D$12)=6,D$7&gt;=0,D$8&gt;=0,D$9&gt;-1,D$10&gt;=0,D$11&gt;=0,OR(D$12=0,D$12=1)),COUNT(E100,D100)=2),E100+D100*D$10/12*(1-D$12),"n.a.")</x:f>
        <x:v>n.a.</x:v>
      </x:c>
      <x:c r="F101" s="89" t="str">
        <x:f>IF(AND(COUNT(D$7:D$12)=6,D$7&gt;=0,D$8&gt;=0,D$9&gt;-1,D$10&gt;=0,D$11&gt;=0,OR(D$12=0,D$12=1)),D$7+68*D$8,"n.a.")</x:f>
        <x:v>n.a.</x:v>
      </x:c>
      <x:c r="G101" s="89" t="str">
        <x:f>IF(AND(AND(COUNT(E$7:E$12)=6,E$7&gt;=0,E$8&gt;=0,E$9&gt;-1,E$10&gt;=0,E$11&gt;=0,OR(E$12=0,E$12=1)),ISNUMBER(G100)),G100*((1+E$9)^(1/12)+E$10/12*E$12-E$11/12)+E$8,"n.a.")</x:f>
        <x:v>n.a.</x:v>
      </x:c>
      <x:c r="H101" s="89" t="str">
        <x:f>IF(AND(AND(COUNT(E$7:E$12)=6,E$7&gt;=0,E$8&gt;=0,E$9&gt;-1,E$10&gt;=0,E$11&gt;=0,OR(E$12=0,E$12=1)),COUNT(H100,G100)=2),H100+G100*E$10/12*(1-E$12),"n.a.")</x:f>
        <x:v>n.a.</x:v>
      </x:c>
      <x:c r="I101" s="89" t="str">
        <x:f>IF(AND(COUNT(E$7:E$12)=6,E$7&gt;=0,E$8&gt;=0,E$9&gt;-1,E$10&gt;=0,E$11&gt;=0,OR(E$12=0,E$12=1)),E$7+68*E$8,"n.a.")</x:f>
        <x:v>n.a.</x:v>
      </x:c>
      <x:c r="J101" s="89" t="str">
        <x:f>IF(AND(AND(COUNT(F$7:F$12)=6,F$7&gt;=0,F$8&gt;=0,F$9&gt;-1,F$10&gt;=0,F$11&gt;=0,OR(F$12=0,F$12=1)),ISNUMBER(J100)),J100*((1+F$9)^(1/12)+F$10/12*F$12-F$11/12)+F$8,"n.a.")</x:f>
        <x:v>n.a.</x:v>
      </x:c>
      <x:c r="K101" s="89" t="str">
        <x:f>IF(AND(AND(COUNT(F$7:F$12)=6,F$7&gt;=0,F$8&gt;=0,F$9&gt;-1,F$10&gt;=0,F$11&gt;=0,OR(F$12=0,F$12=1)),COUNT(K100,J100)=2),K100+J100*F$10/12*(1-F$12),"n.a.")</x:f>
        <x:v>n.a.</x:v>
      </x:c>
      <x:c r="L101" s="89" t="str">
        <x:f>IF(AND(COUNT(F$7:F$12)=6,F$7&gt;=0,F$8&gt;=0,F$9&gt;-1,F$10&gt;=0,F$11&gt;=0,OR(F$12=0,F$12=1)),F$7+68*F$8,"n.a.")</x:f>
        <x:v>n.a.</x:v>
      </x:c>
    </x:row>
    <x:row r="102">
      <x:c r="C102" t="n">
        <x:v>69</x:v>
      </x:c>
      <x:c r="D102" s="89" t="str">
        <x:f>IF(AND(AND(COUNT(D$7:D$12)=6,D$7&gt;=0,D$8&gt;=0,D$9&gt;-1,D$10&gt;=0,D$11&gt;=0,OR(D$12=0,D$12=1)),ISNUMBER(D101)),D101*((1+D$9)^(1/12)+D$10/12*D$12-D$11/12)+D$8,"n.a.")</x:f>
        <x:v>n.a.</x:v>
      </x:c>
      <x:c r="E102" s="89" t="str">
        <x:f>IF(AND(AND(COUNT(D$7:D$12)=6,D$7&gt;=0,D$8&gt;=0,D$9&gt;-1,D$10&gt;=0,D$11&gt;=0,OR(D$12=0,D$12=1)),COUNT(E101,D101)=2),E101+D101*D$10/12*(1-D$12),"n.a.")</x:f>
        <x:v>n.a.</x:v>
      </x:c>
      <x:c r="F102" s="89" t="str">
        <x:f>IF(AND(COUNT(D$7:D$12)=6,D$7&gt;=0,D$8&gt;=0,D$9&gt;-1,D$10&gt;=0,D$11&gt;=0,OR(D$12=0,D$12=1)),D$7+69*D$8,"n.a.")</x:f>
        <x:v>n.a.</x:v>
      </x:c>
      <x:c r="G102" s="89" t="str">
        <x:f>IF(AND(AND(COUNT(E$7:E$12)=6,E$7&gt;=0,E$8&gt;=0,E$9&gt;-1,E$10&gt;=0,E$11&gt;=0,OR(E$12=0,E$12=1)),ISNUMBER(G101)),G101*((1+E$9)^(1/12)+E$10/12*E$12-E$11/12)+E$8,"n.a.")</x:f>
        <x:v>n.a.</x:v>
      </x:c>
      <x:c r="H102" s="89" t="str">
        <x:f>IF(AND(AND(COUNT(E$7:E$12)=6,E$7&gt;=0,E$8&gt;=0,E$9&gt;-1,E$10&gt;=0,E$11&gt;=0,OR(E$12=0,E$12=1)),COUNT(H101,G101)=2),H101+G101*E$10/12*(1-E$12),"n.a.")</x:f>
        <x:v>n.a.</x:v>
      </x:c>
      <x:c r="I102" s="89" t="str">
        <x:f>IF(AND(COUNT(E$7:E$12)=6,E$7&gt;=0,E$8&gt;=0,E$9&gt;-1,E$10&gt;=0,E$11&gt;=0,OR(E$12=0,E$12=1)),E$7+69*E$8,"n.a.")</x:f>
        <x:v>n.a.</x:v>
      </x:c>
      <x:c r="J102" s="89" t="str">
        <x:f>IF(AND(AND(COUNT(F$7:F$12)=6,F$7&gt;=0,F$8&gt;=0,F$9&gt;-1,F$10&gt;=0,F$11&gt;=0,OR(F$12=0,F$12=1)),ISNUMBER(J101)),J101*((1+F$9)^(1/12)+F$10/12*F$12-F$11/12)+F$8,"n.a.")</x:f>
        <x:v>n.a.</x:v>
      </x:c>
      <x:c r="K102" s="89" t="str">
        <x:f>IF(AND(AND(COUNT(F$7:F$12)=6,F$7&gt;=0,F$8&gt;=0,F$9&gt;-1,F$10&gt;=0,F$11&gt;=0,OR(F$12=0,F$12=1)),COUNT(K101,J101)=2),K101+J101*F$10/12*(1-F$12),"n.a.")</x:f>
        <x:v>n.a.</x:v>
      </x:c>
      <x:c r="L102" s="89" t="str">
        <x:f>IF(AND(COUNT(F$7:F$12)=6,F$7&gt;=0,F$8&gt;=0,F$9&gt;-1,F$10&gt;=0,F$11&gt;=0,OR(F$12=0,F$12=1)),F$7+69*F$8,"n.a.")</x:f>
        <x:v>n.a.</x:v>
      </x:c>
    </x:row>
    <x:row r="103">
      <x:c r="C103" t="n">
        <x:v>70</x:v>
      </x:c>
      <x:c r="D103" s="89" t="str">
        <x:f>IF(AND(AND(COUNT(D$7:D$12)=6,D$7&gt;=0,D$8&gt;=0,D$9&gt;-1,D$10&gt;=0,D$11&gt;=0,OR(D$12=0,D$12=1)),ISNUMBER(D102)),D102*((1+D$9)^(1/12)+D$10/12*D$12-D$11/12)+D$8,"n.a.")</x:f>
        <x:v>n.a.</x:v>
      </x:c>
      <x:c r="E103" s="89" t="str">
        <x:f>IF(AND(AND(COUNT(D$7:D$12)=6,D$7&gt;=0,D$8&gt;=0,D$9&gt;-1,D$10&gt;=0,D$11&gt;=0,OR(D$12=0,D$12=1)),COUNT(E102,D102)=2),E102+D102*D$10/12*(1-D$12),"n.a.")</x:f>
        <x:v>n.a.</x:v>
      </x:c>
      <x:c r="F103" s="89" t="str">
        <x:f>IF(AND(COUNT(D$7:D$12)=6,D$7&gt;=0,D$8&gt;=0,D$9&gt;-1,D$10&gt;=0,D$11&gt;=0,OR(D$12=0,D$12=1)),D$7+70*D$8,"n.a.")</x:f>
        <x:v>n.a.</x:v>
      </x:c>
      <x:c r="G103" s="89" t="str">
        <x:f>IF(AND(AND(COUNT(E$7:E$12)=6,E$7&gt;=0,E$8&gt;=0,E$9&gt;-1,E$10&gt;=0,E$11&gt;=0,OR(E$12=0,E$12=1)),ISNUMBER(G102)),G102*((1+E$9)^(1/12)+E$10/12*E$12-E$11/12)+E$8,"n.a.")</x:f>
        <x:v>n.a.</x:v>
      </x:c>
      <x:c r="H103" s="89" t="str">
        <x:f>IF(AND(AND(COUNT(E$7:E$12)=6,E$7&gt;=0,E$8&gt;=0,E$9&gt;-1,E$10&gt;=0,E$11&gt;=0,OR(E$12=0,E$12=1)),COUNT(H102,G102)=2),H102+G102*E$10/12*(1-E$12),"n.a.")</x:f>
        <x:v>n.a.</x:v>
      </x:c>
      <x:c r="I103" s="89" t="str">
        <x:f>IF(AND(COUNT(E$7:E$12)=6,E$7&gt;=0,E$8&gt;=0,E$9&gt;-1,E$10&gt;=0,E$11&gt;=0,OR(E$12=0,E$12=1)),E$7+70*E$8,"n.a.")</x:f>
        <x:v>n.a.</x:v>
      </x:c>
      <x:c r="J103" s="89" t="str">
        <x:f>IF(AND(AND(COUNT(F$7:F$12)=6,F$7&gt;=0,F$8&gt;=0,F$9&gt;-1,F$10&gt;=0,F$11&gt;=0,OR(F$12=0,F$12=1)),ISNUMBER(J102)),J102*((1+F$9)^(1/12)+F$10/12*F$12-F$11/12)+F$8,"n.a.")</x:f>
        <x:v>n.a.</x:v>
      </x:c>
      <x:c r="K103" s="89" t="str">
        <x:f>IF(AND(AND(COUNT(F$7:F$12)=6,F$7&gt;=0,F$8&gt;=0,F$9&gt;-1,F$10&gt;=0,F$11&gt;=0,OR(F$12=0,F$12=1)),COUNT(K102,J102)=2),K102+J102*F$10/12*(1-F$12),"n.a.")</x:f>
        <x:v>n.a.</x:v>
      </x:c>
      <x:c r="L103" s="89" t="str">
        <x:f>IF(AND(COUNT(F$7:F$12)=6,F$7&gt;=0,F$8&gt;=0,F$9&gt;-1,F$10&gt;=0,F$11&gt;=0,OR(F$12=0,F$12=1)),F$7+70*F$8,"n.a.")</x:f>
        <x:v>n.a.</x:v>
      </x:c>
    </x:row>
    <x:row r="104">
      <x:c r="C104" t="n">
        <x:v>71</x:v>
      </x:c>
      <x:c r="D104" s="89" t="str">
        <x:f>IF(AND(AND(COUNT(D$7:D$12)=6,D$7&gt;=0,D$8&gt;=0,D$9&gt;-1,D$10&gt;=0,D$11&gt;=0,OR(D$12=0,D$12=1)),ISNUMBER(D103)),D103*((1+D$9)^(1/12)+D$10/12*D$12-D$11/12)+D$8,"n.a.")</x:f>
        <x:v>n.a.</x:v>
      </x:c>
      <x:c r="E104" s="89" t="str">
        <x:f>IF(AND(AND(COUNT(D$7:D$12)=6,D$7&gt;=0,D$8&gt;=0,D$9&gt;-1,D$10&gt;=0,D$11&gt;=0,OR(D$12=0,D$12=1)),COUNT(E103,D103)=2),E103+D103*D$10/12*(1-D$12),"n.a.")</x:f>
        <x:v>n.a.</x:v>
      </x:c>
      <x:c r="F104" s="89" t="str">
        <x:f>IF(AND(COUNT(D$7:D$12)=6,D$7&gt;=0,D$8&gt;=0,D$9&gt;-1,D$10&gt;=0,D$11&gt;=0,OR(D$12=0,D$12=1)),D$7+71*D$8,"n.a.")</x:f>
        <x:v>n.a.</x:v>
      </x:c>
      <x:c r="G104" s="89" t="str">
        <x:f>IF(AND(AND(COUNT(E$7:E$12)=6,E$7&gt;=0,E$8&gt;=0,E$9&gt;-1,E$10&gt;=0,E$11&gt;=0,OR(E$12=0,E$12=1)),ISNUMBER(G103)),G103*((1+E$9)^(1/12)+E$10/12*E$12-E$11/12)+E$8,"n.a.")</x:f>
        <x:v>n.a.</x:v>
      </x:c>
      <x:c r="H104" s="89" t="str">
        <x:f>IF(AND(AND(COUNT(E$7:E$12)=6,E$7&gt;=0,E$8&gt;=0,E$9&gt;-1,E$10&gt;=0,E$11&gt;=0,OR(E$12=0,E$12=1)),COUNT(H103,G103)=2),H103+G103*E$10/12*(1-E$12),"n.a.")</x:f>
        <x:v>n.a.</x:v>
      </x:c>
      <x:c r="I104" s="89" t="str">
        <x:f>IF(AND(COUNT(E$7:E$12)=6,E$7&gt;=0,E$8&gt;=0,E$9&gt;-1,E$10&gt;=0,E$11&gt;=0,OR(E$12=0,E$12=1)),E$7+71*E$8,"n.a.")</x:f>
        <x:v>n.a.</x:v>
      </x:c>
      <x:c r="J104" s="89" t="str">
        <x:f>IF(AND(AND(COUNT(F$7:F$12)=6,F$7&gt;=0,F$8&gt;=0,F$9&gt;-1,F$10&gt;=0,F$11&gt;=0,OR(F$12=0,F$12=1)),ISNUMBER(J103)),J103*((1+F$9)^(1/12)+F$10/12*F$12-F$11/12)+F$8,"n.a.")</x:f>
        <x:v>n.a.</x:v>
      </x:c>
      <x:c r="K104" s="89" t="str">
        <x:f>IF(AND(AND(COUNT(F$7:F$12)=6,F$7&gt;=0,F$8&gt;=0,F$9&gt;-1,F$10&gt;=0,F$11&gt;=0,OR(F$12=0,F$12=1)),COUNT(K103,J103)=2),K103+J103*F$10/12*(1-F$12),"n.a.")</x:f>
        <x:v>n.a.</x:v>
      </x:c>
      <x:c r="L104" s="89" t="str">
        <x:f>IF(AND(COUNT(F$7:F$12)=6,F$7&gt;=0,F$8&gt;=0,F$9&gt;-1,F$10&gt;=0,F$11&gt;=0,OR(F$12=0,F$12=1)),F$7+71*F$8,"n.a.")</x:f>
        <x:v>n.a.</x:v>
      </x:c>
    </x:row>
    <x:row r="105">
      <x:c r="C105" t="n">
        <x:v>72</x:v>
      </x:c>
      <x:c r="D105" s="89" t="str">
        <x:f>IF(AND(AND(COUNT(D$7:D$12)=6,D$7&gt;=0,D$8&gt;=0,D$9&gt;-1,D$10&gt;=0,D$11&gt;=0,OR(D$12=0,D$12=1)),ISNUMBER(D104)),D104*((1+D$9)^(1/12)+D$10/12*D$12-D$11/12)+D$8,"n.a.")</x:f>
        <x:v>n.a.</x:v>
      </x:c>
      <x:c r="E105" s="89" t="str">
        <x:f>IF(AND(AND(COUNT(D$7:D$12)=6,D$7&gt;=0,D$8&gt;=0,D$9&gt;-1,D$10&gt;=0,D$11&gt;=0,OR(D$12=0,D$12=1)),COUNT(E104,D104)=2),E104+D104*D$10/12*(1-D$12),"n.a.")</x:f>
        <x:v>n.a.</x:v>
      </x:c>
      <x:c r="F105" s="89" t="str">
        <x:f>IF(AND(COUNT(D$7:D$12)=6,D$7&gt;=0,D$8&gt;=0,D$9&gt;-1,D$10&gt;=0,D$11&gt;=0,OR(D$12=0,D$12=1)),D$7+72*D$8,"n.a.")</x:f>
        <x:v>n.a.</x:v>
      </x:c>
      <x:c r="G105" s="89" t="str">
        <x:f>IF(AND(AND(COUNT(E$7:E$12)=6,E$7&gt;=0,E$8&gt;=0,E$9&gt;-1,E$10&gt;=0,E$11&gt;=0,OR(E$12=0,E$12=1)),ISNUMBER(G104)),G104*((1+E$9)^(1/12)+E$10/12*E$12-E$11/12)+E$8,"n.a.")</x:f>
        <x:v>n.a.</x:v>
      </x:c>
      <x:c r="H105" s="89" t="str">
        <x:f>IF(AND(AND(COUNT(E$7:E$12)=6,E$7&gt;=0,E$8&gt;=0,E$9&gt;-1,E$10&gt;=0,E$11&gt;=0,OR(E$12=0,E$12=1)),COUNT(H104,G104)=2),H104+G104*E$10/12*(1-E$12),"n.a.")</x:f>
        <x:v>n.a.</x:v>
      </x:c>
      <x:c r="I105" s="89" t="str">
        <x:f>IF(AND(COUNT(E$7:E$12)=6,E$7&gt;=0,E$8&gt;=0,E$9&gt;-1,E$10&gt;=0,E$11&gt;=0,OR(E$12=0,E$12=1)),E$7+72*E$8,"n.a.")</x:f>
        <x:v>n.a.</x:v>
      </x:c>
      <x:c r="J105" s="89" t="str">
        <x:f>IF(AND(AND(COUNT(F$7:F$12)=6,F$7&gt;=0,F$8&gt;=0,F$9&gt;-1,F$10&gt;=0,F$11&gt;=0,OR(F$12=0,F$12=1)),ISNUMBER(J104)),J104*((1+F$9)^(1/12)+F$10/12*F$12-F$11/12)+F$8,"n.a.")</x:f>
        <x:v>n.a.</x:v>
      </x:c>
      <x:c r="K105" s="89" t="str">
        <x:f>IF(AND(AND(COUNT(F$7:F$12)=6,F$7&gt;=0,F$8&gt;=0,F$9&gt;-1,F$10&gt;=0,F$11&gt;=0,OR(F$12=0,F$12=1)),COUNT(K104,J104)=2),K104+J104*F$10/12*(1-F$12),"n.a.")</x:f>
        <x:v>n.a.</x:v>
      </x:c>
      <x:c r="L105" s="89" t="str">
        <x:f>IF(AND(COUNT(F$7:F$12)=6,F$7&gt;=0,F$8&gt;=0,F$9&gt;-1,F$10&gt;=0,F$11&gt;=0,OR(F$12=0,F$12=1)),F$7+72*F$8,"n.a.")</x:f>
        <x:v>n.a.</x:v>
      </x:c>
    </x:row>
    <x:row r="106">
      <x:c r="C106" t="n">
        <x:v>73</x:v>
      </x:c>
      <x:c r="D106" s="89" t="str">
        <x:f>IF(AND(AND(COUNT(D$7:D$12)=6,D$7&gt;=0,D$8&gt;=0,D$9&gt;-1,D$10&gt;=0,D$11&gt;=0,OR(D$12=0,D$12=1)),ISNUMBER(D105)),D105*((1+D$9)^(1/12)+D$10/12*D$12-D$11/12)+D$8,"n.a.")</x:f>
        <x:v>n.a.</x:v>
      </x:c>
      <x:c r="E106" s="89" t="str">
        <x:f>IF(AND(AND(COUNT(D$7:D$12)=6,D$7&gt;=0,D$8&gt;=0,D$9&gt;-1,D$10&gt;=0,D$11&gt;=0,OR(D$12=0,D$12=1)),COUNT(E105,D105)=2),E105+D105*D$10/12*(1-D$12),"n.a.")</x:f>
        <x:v>n.a.</x:v>
      </x:c>
      <x:c r="F106" s="89" t="str">
        <x:f>IF(AND(COUNT(D$7:D$12)=6,D$7&gt;=0,D$8&gt;=0,D$9&gt;-1,D$10&gt;=0,D$11&gt;=0,OR(D$12=0,D$12=1)),D$7+73*D$8,"n.a.")</x:f>
        <x:v>n.a.</x:v>
      </x:c>
      <x:c r="G106" s="89" t="str">
        <x:f>IF(AND(AND(COUNT(E$7:E$12)=6,E$7&gt;=0,E$8&gt;=0,E$9&gt;-1,E$10&gt;=0,E$11&gt;=0,OR(E$12=0,E$12=1)),ISNUMBER(G105)),G105*((1+E$9)^(1/12)+E$10/12*E$12-E$11/12)+E$8,"n.a.")</x:f>
        <x:v>n.a.</x:v>
      </x:c>
      <x:c r="H106" s="89" t="str">
        <x:f>IF(AND(AND(COUNT(E$7:E$12)=6,E$7&gt;=0,E$8&gt;=0,E$9&gt;-1,E$10&gt;=0,E$11&gt;=0,OR(E$12=0,E$12=1)),COUNT(H105,G105)=2),H105+G105*E$10/12*(1-E$12),"n.a.")</x:f>
        <x:v>n.a.</x:v>
      </x:c>
      <x:c r="I106" s="89" t="str">
        <x:f>IF(AND(COUNT(E$7:E$12)=6,E$7&gt;=0,E$8&gt;=0,E$9&gt;-1,E$10&gt;=0,E$11&gt;=0,OR(E$12=0,E$12=1)),E$7+73*E$8,"n.a.")</x:f>
        <x:v>n.a.</x:v>
      </x:c>
      <x:c r="J106" s="89" t="str">
        <x:f>IF(AND(AND(COUNT(F$7:F$12)=6,F$7&gt;=0,F$8&gt;=0,F$9&gt;-1,F$10&gt;=0,F$11&gt;=0,OR(F$12=0,F$12=1)),ISNUMBER(J105)),J105*((1+F$9)^(1/12)+F$10/12*F$12-F$11/12)+F$8,"n.a.")</x:f>
        <x:v>n.a.</x:v>
      </x:c>
      <x:c r="K106" s="89" t="str">
        <x:f>IF(AND(AND(COUNT(F$7:F$12)=6,F$7&gt;=0,F$8&gt;=0,F$9&gt;-1,F$10&gt;=0,F$11&gt;=0,OR(F$12=0,F$12=1)),COUNT(K105,J105)=2),K105+J105*F$10/12*(1-F$12),"n.a.")</x:f>
        <x:v>n.a.</x:v>
      </x:c>
      <x:c r="L106" s="89" t="str">
        <x:f>IF(AND(COUNT(F$7:F$12)=6,F$7&gt;=0,F$8&gt;=0,F$9&gt;-1,F$10&gt;=0,F$11&gt;=0,OR(F$12=0,F$12=1)),F$7+73*F$8,"n.a.")</x:f>
        <x:v>n.a.</x:v>
      </x:c>
    </x:row>
    <x:row r="107">
      <x:c r="C107" t="n">
        <x:v>74</x:v>
      </x:c>
      <x:c r="D107" s="89" t="str">
        <x:f>IF(AND(AND(COUNT(D$7:D$12)=6,D$7&gt;=0,D$8&gt;=0,D$9&gt;-1,D$10&gt;=0,D$11&gt;=0,OR(D$12=0,D$12=1)),ISNUMBER(D106)),D106*((1+D$9)^(1/12)+D$10/12*D$12-D$11/12)+D$8,"n.a.")</x:f>
        <x:v>n.a.</x:v>
      </x:c>
      <x:c r="E107" s="89" t="str">
        <x:f>IF(AND(AND(COUNT(D$7:D$12)=6,D$7&gt;=0,D$8&gt;=0,D$9&gt;-1,D$10&gt;=0,D$11&gt;=0,OR(D$12=0,D$12=1)),COUNT(E106,D106)=2),E106+D106*D$10/12*(1-D$12),"n.a.")</x:f>
        <x:v>n.a.</x:v>
      </x:c>
      <x:c r="F107" s="89" t="str">
        <x:f>IF(AND(COUNT(D$7:D$12)=6,D$7&gt;=0,D$8&gt;=0,D$9&gt;-1,D$10&gt;=0,D$11&gt;=0,OR(D$12=0,D$12=1)),D$7+74*D$8,"n.a.")</x:f>
        <x:v>n.a.</x:v>
      </x:c>
      <x:c r="G107" s="89" t="str">
        <x:f>IF(AND(AND(COUNT(E$7:E$12)=6,E$7&gt;=0,E$8&gt;=0,E$9&gt;-1,E$10&gt;=0,E$11&gt;=0,OR(E$12=0,E$12=1)),ISNUMBER(G106)),G106*((1+E$9)^(1/12)+E$10/12*E$12-E$11/12)+E$8,"n.a.")</x:f>
        <x:v>n.a.</x:v>
      </x:c>
      <x:c r="H107" s="89" t="str">
        <x:f>IF(AND(AND(COUNT(E$7:E$12)=6,E$7&gt;=0,E$8&gt;=0,E$9&gt;-1,E$10&gt;=0,E$11&gt;=0,OR(E$12=0,E$12=1)),COUNT(H106,G106)=2),H106+G106*E$10/12*(1-E$12),"n.a.")</x:f>
        <x:v>n.a.</x:v>
      </x:c>
      <x:c r="I107" s="89" t="str">
        <x:f>IF(AND(COUNT(E$7:E$12)=6,E$7&gt;=0,E$8&gt;=0,E$9&gt;-1,E$10&gt;=0,E$11&gt;=0,OR(E$12=0,E$12=1)),E$7+74*E$8,"n.a.")</x:f>
        <x:v>n.a.</x:v>
      </x:c>
      <x:c r="J107" s="89" t="str">
        <x:f>IF(AND(AND(COUNT(F$7:F$12)=6,F$7&gt;=0,F$8&gt;=0,F$9&gt;-1,F$10&gt;=0,F$11&gt;=0,OR(F$12=0,F$12=1)),ISNUMBER(J106)),J106*((1+F$9)^(1/12)+F$10/12*F$12-F$11/12)+F$8,"n.a.")</x:f>
        <x:v>n.a.</x:v>
      </x:c>
      <x:c r="K107" s="89" t="str">
        <x:f>IF(AND(AND(COUNT(F$7:F$12)=6,F$7&gt;=0,F$8&gt;=0,F$9&gt;-1,F$10&gt;=0,F$11&gt;=0,OR(F$12=0,F$12=1)),COUNT(K106,J106)=2),K106+J106*F$10/12*(1-F$12),"n.a.")</x:f>
        <x:v>n.a.</x:v>
      </x:c>
      <x:c r="L107" s="89" t="str">
        <x:f>IF(AND(COUNT(F$7:F$12)=6,F$7&gt;=0,F$8&gt;=0,F$9&gt;-1,F$10&gt;=0,F$11&gt;=0,OR(F$12=0,F$12=1)),F$7+74*F$8,"n.a.")</x:f>
        <x:v>n.a.</x:v>
      </x:c>
    </x:row>
    <x:row r="108">
      <x:c r="C108" t="n">
        <x:v>75</x:v>
      </x:c>
      <x:c r="D108" s="89" t="str">
        <x:f>IF(AND(AND(COUNT(D$7:D$12)=6,D$7&gt;=0,D$8&gt;=0,D$9&gt;-1,D$10&gt;=0,D$11&gt;=0,OR(D$12=0,D$12=1)),ISNUMBER(D107)),D107*((1+D$9)^(1/12)+D$10/12*D$12-D$11/12)+D$8,"n.a.")</x:f>
        <x:v>n.a.</x:v>
      </x:c>
      <x:c r="E108" s="89" t="str">
        <x:f>IF(AND(AND(COUNT(D$7:D$12)=6,D$7&gt;=0,D$8&gt;=0,D$9&gt;-1,D$10&gt;=0,D$11&gt;=0,OR(D$12=0,D$12=1)),COUNT(E107,D107)=2),E107+D107*D$10/12*(1-D$12),"n.a.")</x:f>
        <x:v>n.a.</x:v>
      </x:c>
      <x:c r="F108" s="89" t="str">
        <x:f>IF(AND(COUNT(D$7:D$12)=6,D$7&gt;=0,D$8&gt;=0,D$9&gt;-1,D$10&gt;=0,D$11&gt;=0,OR(D$12=0,D$12=1)),D$7+75*D$8,"n.a.")</x:f>
        <x:v>n.a.</x:v>
      </x:c>
      <x:c r="G108" s="89" t="str">
        <x:f>IF(AND(AND(COUNT(E$7:E$12)=6,E$7&gt;=0,E$8&gt;=0,E$9&gt;-1,E$10&gt;=0,E$11&gt;=0,OR(E$12=0,E$12=1)),ISNUMBER(G107)),G107*((1+E$9)^(1/12)+E$10/12*E$12-E$11/12)+E$8,"n.a.")</x:f>
        <x:v>n.a.</x:v>
      </x:c>
      <x:c r="H108" s="89" t="str">
        <x:f>IF(AND(AND(COUNT(E$7:E$12)=6,E$7&gt;=0,E$8&gt;=0,E$9&gt;-1,E$10&gt;=0,E$11&gt;=0,OR(E$12=0,E$12=1)),COUNT(H107,G107)=2),H107+G107*E$10/12*(1-E$12),"n.a.")</x:f>
        <x:v>n.a.</x:v>
      </x:c>
      <x:c r="I108" s="89" t="str">
        <x:f>IF(AND(COUNT(E$7:E$12)=6,E$7&gt;=0,E$8&gt;=0,E$9&gt;-1,E$10&gt;=0,E$11&gt;=0,OR(E$12=0,E$12=1)),E$7+75*E$8,"n.a.")</x:f>
        <x:v>n.a.</x:v>
      </x:c>
      <x:c r="J108" s="89" t="str">
        <x:f>IF(AND(AND(COUNT(F$7:F$12)=6,F$7&gt;=0,F$8&gt;=0,F$9&gt;-1,F$10&gt;=0,F$11&gt;=0,OR(F$12=0,F$12=1)),ISNUMBER(J107)),J107*((1+F$9)^(1/12)+F$10/12*F$12-F$11/12)+F$8,"n.a.")</x:f>
        <x:v>n.a.</x:v>
      </x:c>
      <x:c r="K108" s="89" t="str">
        <x:f>IF(AND(AND(COUNT(F$7:F$12)=6,F$7&gt;=0,F$8&gt;=0,F$9&gt;-1,F$10&gt;=0,F$11&gt;=0,OR(F$12=0,F$12=1)),COUNT(K107,J107)=2),K107+J107*F$10/12*(1-F$12),"n.a.")</x:f>
        <x:v>n.a.</x:v>
      </x:c>
      <x:c r="L108" s="89" t="str">
        <x:f>IF(AND(COUNT(F$7:F$12)=6,F$7&gt;=0,F$8&gt;=0,F$9&gt;-1,F$10&gt;=0,F$11&gt;=0,OR(F$12=0,F$12=1)),F$7+75*F$8,"n.a.")</x:f>
        <x:v>n.a.</x:v>
      </x:c>
    </x:row>
    <x:row r="109">
      <x:c r="C109" t="n">
        <x:v>76</x:v>
      </x:c>
      <x:c r="D109" s="89" t="str">
        <x:f>IF(AND(AND(COUNT(D$7:D$12)=6,D$7&gt;=0,D$8&gt;=0,D$9&gt;-1,D$10&gt;=0,D$11&gt;=0,OR(D$12=0,D$12=1)),ISNUMBER(D108)),D108*((1+D$9)^(1/12)+D$10/12*D$12-D$11/12)+D$8,"n.a.")</x:f>
        <x:v>n.a.</x:v>
      </x:c>
      <x:c r="E109" s="89" t="str">
        <x:f>IF(AND(AND(COUNT(D$7:D$12)=6,D$7&gt;=0,D$8&gt;=0,D$9&gt;-1,D$10&gt;=0,D$11&gt;=0,OR(D$12=0,D$12=1)),COUNT(E108,D108)=2),E108+D108*D$10/12*(1-D$12),"n.a.")</x:f>
        <x:v>n.a.</x:v>
      </x:c>
      <x:c r="F109" s="89" t="str">
        <x:f>IF(AND(COUNT(D$7:D$12)=6,D$7&gt;=0,D$8&gt;=0,D$9&gt;-1,D$10&gt;=0,D$11&gt;=0,OR(D$12=0,D$12=1)),D$7+76*D$8,"n.a.")</x:f>
        <x:v>n.a.</x:v>
      </x:c>
      <x:c r="G109" s="89" t="str">
        <x:f>IF(AND(AND(COUNT(E$7:E$12)=6,E$7&gt;=0,E$8&gt;=0,E$9&gt;-1,E$10&gt;=0,E$11&gt;=0,OR(E$12=0,E$12=1)),ISNUMBER(G108)),G108*((1+E$9)^(1/12)+E$10/12*E$12-E$11/12)+E$8,"n.a.")</x:f>
        <x:v>n.a.</x:v>
      </x:c>
      <x:c r="H109" s="89" t="str">
        <x:f>IF(AND(AND(COUNT(E$7:E$12)=6,E$7&gt;=0,E$8&gt;=0,E$9&gt;-1,E$10&gt;=0,E$11&gt;=0,OR(E$12=0,E$12=1)),COUNT(H108,G108)=2),H108+G108*E$10/12*(1-E$12),"n.a.")</x:f>
        <x:v>n.a.</x:v>
      </x:c>
      <x:c r="I109" s="89" t="str">
        <x:f>IF(AND(COUNT(E$7:E$12)=6,E$7&gt;=0,E$8&gt;=0,E$9&gt;-1,E$10&gt;=0,E$11&gt;=0,OR(E$12=0,E$12=1)),E$7+76*E$8,"n.a.")</x:f>
        <x:v>n.a.</x:v>
      </x:c>
      <x:c r="J109" s="89" t="str">
        <x:f>IF(AND(AND(COUNT(F$7:F$12)=6,F$7&gt;=0,F$8&gt;=0,F$9&gt;-1,F$10&gt;=0,F$11&gt;=0,OR(F$12=0,F$12=1)),ISNUMBER(J108)),J108*((1+F$9)^(1/12)+F$10/12*F$12-F$11/12)+F$8,"n.a.")</x:f>
        <x:v>n.a.</x:v>
      </x:c>
      <x:c r="K109" s="89" t="str">
        <x:f>IF(AND(AND(COUNT(F$7:F$12)=6,F$7&gt;=0,F$8&gt;=0,F$9&gt;-1,F$10&gt;=0,F$11&gt;=0,OR(F$12=0,F$12=1)),COUNT(K108,J108)=2),K108+J108*F$10/12*(1-F$12),"n.a.")</x:f>
        <x:v>n.a.</x:v>
      </x:c>
      <x:c r="L109" s="89" t="str">
        <x:f>IF(AND(COUNT(F$7:F$12)=6,F$7&gt;=0,F$8&gt;=0,F$9&gt;-1,F$10&gt;=0,F$11&gt;=0,OR(F$12=0,F$12=1)),F$7+76*F$8,"n.a.")</x:f>
        <x:v>n.a.</x:v>
      </x:c>
    </x:row>
    <x:row r="110">
      <x:c r="C110" t="n">
        <x:v>77</x:v>
      </x:c>
      <x:c r="D110" s="89" t="str">
        <x:f>IF(AND(AND(COUNT(D$7:D$12)=6,D$7&gt;=0,D$8&gt;=0,D$9&gt;-1,D$10&gt;=0,D$11&gt;=0,OR(D$12=0,D$12=1)),ISNUMBER(D109)),D109*((1+D$9)^(1/12)+D$10/12*D$12-D$11/12)+D$8,"n.a.")</x:f>
        <x:v>n.a.</x:v>
      </x:c>
      <x:c r="E110" s="89" t="str">
        <x:f>IF(AND(AND(COUNT(D$7:D$12)=6,D$7&gt;=0,D$8&gt;=0,D$9&gt;-1,D$10&gt;=0,D$11&gt;=0,OR(D$12=0,D$12=1)),COUNT(E109,D109)=2),E109+D109*D$10/12*(1-D$12),"n.a.")</x:f>
        <x:v>n.a.</x:v>
      </x:c>
      <x:c r="F110" s="89" t="str">
        <x:f>IF(AND(COUNT(D$7:D$12)=6,D$7&gt;=0,D$8&gt;=0,D$9&gt;-1,D$10&gt;=0,D$11&gt;=0,OR(D$12=0,D$12=1)),D$7+77*D$8,"n.a.")</x:f>
        <x:v>n.a.</x:v>
      </x:c>
      <x:c r="G110" s="89" t="str">
        <x:f>IF(AND(AND(COUNT(E$7:E$12)=6,E$7&gt;=0,E$8&gt;=0,E$9&gt;-1,E$10&gt;=0,E$11&gt;=0,OR(E$12=0,E$12=1)),ISNUMBER(G109)),G109*((1+E$9)^(1/12)+E$10/12*E$12-E$11/12)+E$8,"n.a.")</x:f>
        <x:v>n.a.</x:v>
      </x:c>
      <x:c r="H110" s="89" t="str">
        <x:f>IF(AND(AND(COUNT(E$7:E$12)=6,E$7&gt;=0,E$8&gt;=0,E$9&gt;-1,E$10&gt;=0,E$11&gt;=0,OR(E$12=0,E$12=1)),COUNT(H109,G109)=2),H109+G109*E$10/12*(1-E$12),"n.a.")</x:f>
        <x:v>n.a.</x:v>
      </x:c>
      <x:c r="I110" s="89" t="str">
        <x:f>IF(AND(COUNT(E$7:E$12)=6,E$7&gt;=0,E$8&gt;=0,E$9&gt;-1,E$10&gt;=0,E$11&gt;=0,OR(E$12=0,E$12=1)),E$7+77*E$8,"n.a.")</x:f>
        <x:v>n.a.</x:v>
      </x:c>
      <x:c r="J110" s="89" t="str">
        <x:f>IF(AND(AND(COUNT(F$7:F$12)=6,F$7&gt;=0,F$8&gt;=0,F$9&gt;-1,F$10&gt;=0,F$11&gt;=0,OR(F$12=0,F$12=1)),ISNUMBER(J109)),J109*((1+F$9)^(1/12)+F$10/12*F$12-F$11/12)+F$8,"n.a.")</x:f>
        <x:v>n.a.</x:v>
      </x:c>
      <x:c r="K110" s="89" t="str">
        <x:f>IF(AND(AND(COUNT(F$7:F$12)=6,F$7&gt;=0,F$8&gt;=0,F$9&gt;-1,F$10&gt;=0,F$11&gt;=0,OR(F$12=0,F$12=1)),COUNT(K109,J109)=2),K109+J109*F$10/12*(1-F$12),"n.a.")</x:f>
        <x:v>n.a.</x:v>
      </x:c>
      <x:c r="L110" s="89" t="str">
        <x:f>IF(AND(COUNT(F$7:F$12)=6,F$7&gt;=0,F$8&gt;=0,F$9&gt;-1,F$10&gt;=0,F$11&gt;=0,OR(F$12=0,F$12=1)),F$7+77*F$8,"n.a.")</x:f>
        <x:v>n.a.</x:v>
      </x:c>
    </x:row>
    <x:row r="111">
      <x:c r="C111" t="n">
        <x:v>78</x:v>
      </x:c>
      <x:c r="D111" s="89" t="str">
        <x:f>IF(AND(AND(COUNT(D$7:D$12)=6,D$7&gt;=0,D$8&gt;=0,D$9&gt;-1,D$10&gt;=0,D$11&gt;=0,OR(D$12=0,D$12=1)),ISNUMBER(D110)),D110*((1+D$9)^(1/12)+D$10/12*D$12-D$11/12)+D$8,"n.a.")</x:f>
        <x:v>n.a.</x:v>
      </x:c>
      <x:c r="E111" s="89" t="str">
        <x:f>IF(AND(AND(COUNT(D$7:D$12)=6,D$7&gt;=0,D$8&gt;=0,D$9&gt;-1,D$10&gt;=0,D$11&gt;=0,OR(D$12=0,D$12=1)),COUNT(E110,D110)=2),E110+D110*D$10/12*(1-D$12),"n.a.")</x:f>
        <x:v>n.a.</x:v>
      </x:c>
      <x:c r="F111" s="89" t="str">
        <x:f>IF(AND(COUNT(D$7:D$12)=6,D$7&gt;=0,D$8&gt;=0,D$9&gt;-1,D$10&gt;=0,D$11&gt;=0,OR(D$12=0,D$12=1)),D$7+78*D$8,"n.a.")</x:f>
        <x:v>n.a.</x:v>
      </x:c>
      <x:c r="G111" s="89" t="str">
        <x:f>IF(AND(AND(COUNT(E$7:E$12)=6,E$7&gt;=0,E$8&gt;=0,E$9&gt;-1,E$10&gt;=0,E$11&gt;=0,OR(E$12=0,E$12=1)),ISNUMBER(G110)),G110*((1+E$9)^(1/12)+E$10/12*E$12-E$11/12)+E$8,"n.a.")</x:f>
        <x:v>n.a.</x:v>
      </x:c>
      <x:c r="H111" s="89" t="str">
        <x:f>IF(AND(AND(COUNT(E$7:E$12)=6,E$7&gt;=0,E$8&gt;=0,E$9&gt;-1,E$10&gt;=0,E$11&gt;=0,OR(E$12=0,E$12=1)),COUNT(H110,G110)=2),H110+G110*E$10/12*(1-E$12),"n.a.")</x:f>
        <x:v>n.a.</x:v>
      </x:c>
      <x:c r="I111" s="89" t="str">
        <x:f>IF(AND(COUNT(E$7:E$12)=6,E$7&gt;=0,E$8&gt;=0,E$9&gt;-1,E$10&gt;=0,E$11&gt;=0,OR(E$12=0,E$12=1)),E$7+78*E$8,"n.a.")</x:f>
        <x:v>n.a.</x:v>
      </x:c>
      <x:c r="J111" s="89" t="str">
        <x:f>IF(AND(AND(COUNT(F$7:F$12)=6,F$7&gt;=0,F$8&gt;=0,F$9&gt;-1,F$10&gt;=0,F$11&gt;=0,OR(F$12=0,F$12=1)),ISNUMBER(J110)),J110*((1+F$9)^(1/12)+F$10/12*F$12-F$11/12)+F$8,"n.a.")</x:f>
        <x:v>n.a.</x:v>
      </x:c>
      <x:c r="K111" s="89" t="str">
        <x:f>IF(AND(AND(COUNT(F$7:F$12)=6,F$7&gt;=0,F$8&gt;=0,F$9&gt;-1,F$10&gt;=0,F$11&gt;=0,OR(F$12=0,F$12=1)),COUNT(K110,J110)=2),K110+J110*F$10/12*(1-F$12),"n.a.")</x:f>
        <x:v>n.a.</x:v>
      </x:c>
      <x:c r="L111" s="89" t="str">
        <x:f>IF(AND(COUNT(F$7:F$12)=6,F$7&gt;=0,F$8&gt;=0,F$9&gt;-1,F$10&gt;=0,F$11&gt;=0,OR(F$12=0,F$12=1)),F$7+78*F$8,"n.a.")</x:f>
        <x:v>n.a.</x:v>
      </x:c>
    </x:row>
    <x:row r="112">
      <x:c r="C112" t="n">
        <x:v>79</x:v>
      </x:c>
      <x:c r="D112" s="89" t="str">
        <x:f>IF(AND(AND(COUNT(D$7:D$12)=6,D$7&gt;=0,D$8&gt;=0,D$9&gt;-1,D$10&gt;=0,D$11&gt;=0,OR(D$12=0,D$12=1)),ISNUMBER(D111)),D111*((1+D$9)^(1/12)+D$10/12*D$12-D$11/12)+D$8,"n.a.")</x:f>
        <x:v>n.a.</x:v>
      </x:c>
      <x:c r="E112" s="89" t="str">
        <x:f>IF(AND(AND(COUNT(D$7:D$12)=6,D$7&gt;=0,D$8&gt;=0,D$9&gt;-1,D$10&gt;=0,D$11&gt;=0,OR(D$12=0,D$12=1)),COUNT(E111,D111)=2),E111+D111*D$10/12*(1-D$12),"n.a.")</x:f>
        <x:v>n.a.</x:v>
      </x:c>
      <x:c r="F112" s="89" t="str">
        <x:f>IF(AND(COUNT(D$7:D$12)=6,D$7&gt;=0,D$8&gt;=0,D$9&gt;-1,D$10&gt;=0,D$11&gt;=0,OR(D$12=0,D$12=1)),D$7+79*D$8,"n.a.")</x:f>
        <x:v>n.a.</x:v>
      </x:c>
      <x:c r="G112" s="89" t="str">
        <x:f>IF(AND(AND(COUNT(E$7:E$12)=6,E$7&gt;=0,E$8&gt;=0,E$9&gt;-1,E$10&gt;=0,E$11&gt;=0,OR(E$12=0,E$12=1)),ISNUMBER(G111)),G111*((1+E$9)^(1/12)+E$10/12*E$12-E$11/12)+E$8,"n.a.")</x:f>
        <x:v>n.a.</x:v>
      </x:c>
      <x:c r="H112" s="89" t="str">
        <x:f>IF(AND(AND(COUNT(E$7:E$12)=6,E$7&gt;=0,E$8&gt;=0,E$9&gt;-1,E$10&gt;=0,E$11&gt;=0,OR(E$12=0,E$12=1)),COUNT(H111,G111)=2),H111+G111*E$10/12*(1-E$12),"n.a.")</x:f>
        <x:v>n.a.</x:v>
      </x:c>
      <x:c r="I112" s="89" t="str">
        <x:f>IF(AND(COUNT(E$7:E$12)=6,E$7&gt;=0,E$8&gt;=0,E$9&gt;-1,E$10&gt;=0,E$11&gt;=0,OR(E$12=0,E$12=1)),E$7+79*E$8,"n.a.")</x:f>
        <x:v>n.a.</x:v>
      </x:c>
      <x:c r="J112" s="89" t="str">
        <x:f>IF(AND(AND(COUNT(F$7:F$12)=6,F$7&gt;=0,F$8&gt;=0,F$9&gt;-1,F$10&gt;=0,F$11&gt;=0,OR(F$12=0,F$12=1)),ISNUMBER(J111)),J111*((1+F$9)^(1/12)+F$10/12*F$12-F$11/12)+F$8,"n.a.")</x:f>
        <x:v>n.a.</x:v>
      </x:c>
      <x:c r="K112" s="89" t="str">
        <x:f>IF(AND(AND(COUNT(F$7:F$12)=6,F$7&gt;=0,F$8&gt;=0,F$9&gt;-1,F$10&gt;=0,F$11&gt;=0,OR(F$12=0,F$12=1)),COUNT(K111,J111)=2),K111+J111*F$10/12*(1-F$12),"n.a.")</x:f>
        <x:v>n.a.</x:v>
      </x:c>
      <x:c r="L112" s="89" t="str">
        <x:f>IF(AND(COUNT(F$7:F$12)=6,F$7&gt;=0,F$8&gt;=0,F$9&gt;-1,F$10&gt;=0,F$11&gt;=0,OR(F$12=0,F$12=1)),F$7+79*F$8,"n.a.")</x:f>
        <x:v>n.a.</x:v>
      </x:c>
    </x:row>
    <x:row r="113">
      <x:c r="C113" t="n">
        <x:v>80</x:v>
      </x:c>
      <x:c r="D113" s="89" t="str">
        <x:f>IF(AND(AND(COUNT(D$7:D$12)=6,D$7&gt;=0,D$8&gt;=0,D$9&gt;-1,D$10&gt;=0,D$11&gt;=0,OR(D$12=0,D$12=1)),ISNUMBER(D112)),D112*((1+D$9)^(1/12)+D$10/12*D$12-D$11/12)+D$8,"n.a.")</x:f>
        <x:v>n.a.</x:v>
      </x:c>
      <x:c r="E113" s="89" t="str">
        <x:f>IF(AND(AND(COUNT(D$7:D$12)=6,D$7&gt;=0,D$8&gt;=0,D$9&gt;-1,D$10&gt;=0,D$11&gt;=0,OR(D$12=0,D$12=1)),COUNT(E112,D112)=2),E112+D112*D$10/12*(1-D$12),"n.a.")</x:f>
        <x:v>n.a.</x:v>
      </x:c>
      <x:c r="F113" s="89" t="str">
        <x:f>IF(AND(COUNT(D$7:D$12)=6,D$7&gt;=0,D$8&gt;=0,D$9&gt;-1,D$10&gt;=0,D$11&gt;=0,OR(D$12=0,D$12=1)),D$7+80*D$8,"n.a.")</x:f>
        <x:v>n.a.</x:v>
      </x:c>
      <x:c r="G113" s="89" t="str">
        <x:f>IF(AND(AND(COUNT(E$7:E$12)=6,E$7&gt;=0,E$8&gt;=0,E$9&gt;-1,E$10&gt;=0,E$11&gt;=0,OR(E$12=0,E$12=1)),ISNUMBER(G112)),G112*((1+E$9)^(1/12)+E$10/12*E$12-E$11/12)+E$8,"n.a.")</x:f>
        <x:v>n.a.</x:v>
      </x:c>
      <x:c r="H113" s="89" t="str">
        <x:f>IF(AND(AND(COUNT(E$7:E$12)=6,E$7&gt;=0,E$8&gt;=0,E$9&gt;-1,E$10&gt;=0,E$11&gt;=0,OR(E$12=0,E$12=1)),COUNT(H112,G112)=2),H112+G112*E$10/12*(1-E$12),"n.a.")</x:f>
        <x:v>n.a.</x:v>
      </x:c>
      <x:c r="I113" s="89" t="str">
        <x:f>IF(AND(COUNT(E$7:E$12)=6,E$7&gt;=0,E$8&gt;=0,E$9&gt;-1,E$10&gt;=0,E$11&gt;=0,OR(E$12=0,E$12=1)),E$7+80*E$8,"n.a.")</x:f>
        <x:v>n.a.</x:v>
      </x:c>
      <x:c r="J113" s="89" t="str">
        <x:f>IF(AND(AND(COUNT(F$7:F$12)=6,F$7&gt;=0,F$8&gt;=0,F$9&gt;-1,F$10&gt;=0,F$11&gt;=0,OR(F$12=0,F$12=1)),ISNUMBER(J112)),J112*((1+F$9)^(1/12)+F$10/12*F$12-F$11/12)+F$8,"n.a.")</x:f>
        <x:v>n.a.</x:v>
      </x:c>
      <x:c r="K113" s="89" t="str">
        <x:f>IF(AND(AND(COUNT(F$7:F$12)=6,F$7&gt;=0,F$8&gt;=0,F$9&gt;-1,F$10&gt;=0,F$11&gt;=0,OR(F$12=0,F$12=1)),COUNT(K112,J112)=2),K112+J112*F$10/12*(1-F$12),"n.a.")</x:f>
        <x:v>n.a.</x:v>
      </x:c>
      <x:c r="L113" s="89" t="str">
        <x:f>IF(AND(COUNT(F$7:F$12)=6,F$7&gt;=0,F$8&gt;=0,F$9&gt;-1,F$10&gt;=0,F$11&gt;=0,OR(F$12=0,F$12=1)),F$7+80*F$8,"n.a.")</x:f>
        <x:v>n.a.</x:v>
      </x:c>
    </x:row>
    <x:row r="114">
      <x:c r="C114" t="n">
        <x:v>81</x:v>
      </x:c>
      <x:c r="D114" s="89" t="str">
        <x:f>IF(AND(AND(COUNT(D$7:D$12)=6,D$7&gt;=0,D$8&gt;=0,D$9&gt;-1,D$10&gt;=0,D$11&gt;=0,OR(D$12=0,D$12=1)),ISNUMBER(D113)),D113*((1+D$9)^(1/12)+D$10/12*D$12-D$11/12)+D$8,"n.a.")</x:f>
        <x:v>n.a.</x:v>
      </x:c>
      <x:c r="E114" s="89" t="str">
        <x:f>IF(AND(AND(COUNT(D$7:D$12)=6,D$7&gt;=0,D$8&gt;=0,D$9&gt;-1,D$10&gt;=0,D$11&gt;=0,OR(D$12=0,D$12=1)),COUNT(E113,D113)=2),E113+D113*D$10/12*(1-D$12),"n.a.")</x:f>
        <x:v>n.a.</x:v>
      </x:c>
      <x:c r="F114" s="89" t="str">
        <x:f>IF(AND(COUNT(D$7:D$12)=6,D$7&gt;=0,D$8&gt;=0,D$9&gt;-1,D$10&gt;=0,D$11&gt;=0,OR(D$12=0,D$12=1)),D$7+81*D$8,"n.a.")</x:f>
        <x:v>n.a.</x:v>
      </x:c>
      <x:c r="G114" s="89" t="str">
        <x:f>IF(AND(AND(COUNT(E$7:E$12)=6,E$7&gt;=0,E$8&gt;=0,E$9&gt;-1,E$10&gt;=0,E$11&gt;=0,OR(E$12=0,E$12=1)),ISNUMBER(G113)),G113*((1+E$9)^(1/12)+E$10/12*E$12-E$11/12)+E$8,"n.a.")</x:f>
        <x:v>n.a.</x:v>
      </x:c>
      <x:c r="H114" s="89" t="str">
        <x:f>IF(AND(AND(COUNT(E$7:E$12)=6,E$7&gt;=0,E$8&gt;=0,E$9&gt;-1,E$10&gt;=0,E$11&gt;=0,OR(E$12=0,E$12=1)),COUNT(H113,G113)=2),H113+G113*E$10/12*(1-E$12),"n.a.")</x:f>
        <x:v>n.a.</x:v>
      </x:c>
      <x:c r="I114" s="89" t="str">
        <x:f>IF(AND(COUNT(E$7:E$12)=6,E$7&gt;=0,E$8&gt;=0,E$9&gt;-1,E$10&gt;=0,E$11&gt;=0,OR(E$12=0,E$12=1)),E$7+81*E$8,"n.a.")</x:f>
        <x:v>n.a.</x:v>
      </x:c>
      <x:c r="J114" s="89" t="str">
        <x:f>IF(AND(AND(COUNT(F$7:F$12)=6,F$7&gt;=0,F$8&gt;=0,F$9&gt;-1,F$10&gt;=0,F$11&gt;=0,OR(F$12=0,F$12=1)),ISNUMBER(J113)),J113*((1+F$9)^(1/12)+F$10/12*F$12-F$11/12)+F$8,"n.a.")</x:f>
        <x:v>n.a.</x:v>
      </x:c>
      <x:c r="K114" s="89" t="str">
        <x:f>IF(AND(AND(COUNT(F$7:F$12)=6,F$7&gt;=0,F$8&gt;=0,F$9&gt;-1,F$10&gt;=0,F$11&gt;=0,OR(F$12=0,F$12=1)),COUNT(K113,J113)=2),K113+J113*F$10/12*(1-F$12),"n.a.")</x:f>
        <x:v>n.a.</x:v>
      </x:c>
      <x:c r="L114" s="89" t="str">
        <x:f>IF(AND(COUNT(F$7:F$12)=6,F$7&gt;=0,F$8&gt;=0,F$9&gt;-1,F$10&gt;=0,F$11&gt;=0,OR(F$12=0,F$12=1)),F$7+81*F$8,"n.a.")</x:f>
        <x:v>n.a.</x:v>
      </x:c>
    </x:row>
    <x:row r="115">
      <x:c r="C115" t="n">
        <x:v>82</x:v>
      </x:c>
      <x:c r="D115" s="89" t="str">
        <x:f>IF(AND(AND(COUNT(D$7:D$12)=6,D$7&gt;=0,D$8&gt;=0,D$9&gt;-1,D$10&gt;=0,D$11&gt;=0,OR(D$12=0,D$12=1)),ISNUMBER(D114)),D114*((1+D$9)^(1/12)+D$10/12*D$12-D$11/12)+D$8,"n.a.")</x:f>
        <x:v>n.a.</x:v>
      </x:c>
      <x:c r="E115" s="89" t="str">
        <x:f>IF(AND(AND(COUNT(D$7:D$12)=6,D$7&gt;=0,D$8&gt;=0,D$9&gt;-1,D$10&gt;=0,D$11&gt;=0,OR(D$12=0,D$12=1)),COUNT(E114,D114)=2),E114+D114*D$10/12*(1-D$12),"n.a.")</x:f>
        <x:v>n.a.</x:v>
      </x:c>
      <x:c r="F115" s="89" t="str">
        <x:f>IF(AND(COUNT(D$7:D$12)=6,D$7&gt;=0,D$8&gt;=0,D$9&gt;-1,D$10&gt;=0,D$11&gt;=0,OR(D$12=0,D$12=1)),D$7+82*D$8,"n.a.")</x:f>
        <x:v>n.a.</x:v>
      </x:c>
      <x:c r="G115" s="89" t="str">
        <x:f>IF(AND(AND(COUNT(E$7:E$12)=6,E$7&gt;=0,E$8&gt;=0,E$9&gt;-1,E$10&gt;=0,E$11&gt;=0,OR(E$12=0,E$12=1)),ISNUMBER(G114)),G114*((1+E$9)^(1/12)+E$10/12*E$12-E$11/12)+E$8,"n.a.")</x:f>
        <x:v>n.a.</x:v>
      </x:c>
      <x:c r="H115" s="89" t="str">
        <x:f>IF(AND(AND(COUNT(E$7:E$12)=6,E$7&gt;=0,E$8&gt;=0,E$9&gt;-1,E$10&gt;=0,E$11&gt;=0,OR(E$12=0,E$12=1)),COUNT(H114,G114)=2),H114+G114*E$10/12*(1-E$12),"n.a.")</x:f>
        <x:v>n.a.</x:v>
      </x:c>
      <x:c r="I115" s="89" t="str">
        <x:f>IF(AND(COUNT(E$7:E$12)=6,E$7&gt;=0,E$8&gt;=0,E$9&gt;-1,E$10&gt;=0,E$11&gt;=0,OR(E$12=0,E$12=1)),E$7+82*E$8,"n.a.")</x:f>
        <x:v>n.a.</x:v>
      </x:c>
      <x:c r="J115" s="89" t="str">
        <x:f>IF(AND(AND(COUNT(F$7:F$12)=6,F$7&gt;=0,F$8&gt;=0,F$9&gt;-1,F$10&gt;=0,F$11&gt;=0,OR(F$12=0,F$12=1)),ISNUMBER(J114)),J114*((1+F$9)^(1/12)+F$10/12*F$12-F$11/12)+F$8,"n.a.")</x:f>
        <x:v>n.a.</x:v>
      </x:c>
      <x:c r="K115" s="89" t="str">
        <x:f>IF(AND(AND(COUNT(F$7:F$12)=6,F$7&gt;=0,F$8&gt;=0,F$9&gt;-1,F$10&gt;=0,F$11&gt;=0,OR(F$12=0,F$12=1)),COUNT(K114,J114)=2),K114+J114*F$10/12*(1-F$12),"n.a.")</x:f>
        <x:v>n.a.</x:v>
      </x:c>
      <x:c r="L115" s="89" t="str">
        <x:f>IF(AND(COUNT(F$7:F$12)=6,F$7&gt;=0,F$8&gt;=0,F$9&gt;-1,F$10&gt;=0,F$11&gt;=0,OR(F$12=0,F$12=1)),F$7+82*F$8,"n.a.")</x:f>
        <x:v>n.a.</x:v>
      </x:c>
    </x:row>
    <x:row r="116">
      <x:c r="C116" t="n">
        <x:v>83</x:v>
      </x:c>
      <x:c r="D116" s="89" t="str">
        <x:f>IF(AND(AND(COUNT(D$7:D$12)=6,D$7&gt;=0,D$8&gt;=0,D$9&gt;-1,D$10&gt;=0,D$11&gt;=0,OR(D$12=0,D$12=1)),ISNUMBER(D115)),D115*((1+D$9)^(1/12)+D$10/12*D$12-D$11/12)+D$8,"n.a.")</x:f>
        <x:v>n.a.</x:v>
      </x:c>
      <x:c r="E116" s="89" t="str">
        <x:f>IF(AND(AND(COUNT(D$7:D$12)=6,D$7&gt;=0,D$8&gt;=0,D$9&gt;-1,D$10&gt;=0,D$11&gt;=0,OR(D$12=0,D$12=1)),COUNT(E115,D115)=2),E115+D115*D$10/12*(1-D$12),"n.a.")</x:f>
        <x:v>n.a.</x:v>
      </x:c>
      <x:c r="F116" s="89" t="str">
        <x:f>IF(AND(COUNT(D$7:D$12)=6,D$7&gt;=0,D$8&gt;=0,D$9&gt;-1,D$10&gt;=0,D$11&gt;=0,OR(D$12=0,D$12=1)),D$7+83*D$8,"n.a.")</x:f>
        <x:v>n.a.</x:v>
      </x:c>
      <x:c r="G116" s="89" t="str">
        <x:f>IF(AND(AND(COUNT(E$7:E$12)=6,E$7&gt;=0,E$8&gt;=0,E$9&gt;-1,E$10&gt;=0,E$11&gt;=0,OR(E$12=0,E$12=1)),ISNUMBER(G115)),G115*((1+E$9)^(1/12)+E$10/12*E$12-E$11/12)+E$8,"n.a.")</x:f>
        <x:v>n.a.</x:v>
      </x:c>
      <x:c r="H116" s="89" t="str">
        <x:f>IF(AND(AND(COUNT(E$7:E$12)=6,E$7&gt;=0,E$8&gt;=0,E$9&gt;-1,E$10&gt;=0,E$11&gt;=0,OR(E$12=0,E$12=1)),COUNT(H115,G115)=2),H115+G115*E$10/12*(1-E$12),"n.a.")</x:f>
        <x:v>n.a.</x:v>
      </x:c>
      <x:c r="I116" s="89" t="str">
        <x:f>IF(AND(COUNT(E$7:E$12)=6,E$7&gt;=0,E$8&gt;=0,E$9&gt;-1,E$10&gt;=0,E$11&gt;=0,OR(E$12=0,E$12=1)),E$7+83*E$8,"n.a.")</x:f>
        <x:v>n.a.</x:v>
      </x:c>
      <x:c r="J116" s="89" t="str">
        <x:f>IF(AND(AND(COUNT(F$7:F$12)=6,F$7&gt;=0,F$8&gt;=0,F$9&gt;-1,F$10&gt;=0,F$11&gt;=0,OR(F$12=0,F$12=1)),ISNUMBER(J115)),J115*((1+F$9)^(1/12)+F$10/12*F$12-F$11/12)+F$8,"n.a.")</x:f>
        <x:v>n.a.</x:v>
      </x:c>
      <x:c r="K116" s="89" t="str">
        <x:f>IF(AND(AND(COUNT(F$7:F$12)=6,F$7&gt;=0,F$8&gt;=0,F$9&gt;-1,F$10&gt;=0,F$11&gt;=0,OR(F$12=0,F$12=1)),COUNT(K115,J115)=2),K115+J115*F$10/12*(1-F$12),"n.a.")</x:f>
        <x:v>n.a.</x:v>
      </x:c>
      <x:c r="L116" s="89" t="str">
        <x:f>IF(AND(COUNT(F$7:F$12)=6,F$7&gt;=0,F$8&gt;=0,F$9&gt;-1,F$10&gt;=0,F$11&gt;=0,OR(F$12=0,F$12=1)),F$7+83*F$8,"n.a.")</x:f>
        <x:v>n.a.</x:v>
      </x:c>
    </x:row>
    <x:row r="117">
      <x:c r="C117" t="n">
        <x:v>84</x:v>
      </x:c>
      <x:c r="D117" s="89" t="str">
        <x:f>IF(AND(AND(COUNT(D$7:D$12)=6,D$7&gt;=0,D$8&gt;=0,D$9&gt;-1,D$10&gt;=0,D$11&gt;=0,OR(D$12=0,D$12=1)),ISNUMBER(D116)),D116*((1+D$9)^(1/12)+D$10/12*D$12-D$11/12)+D$8,"n.a.")</x:f>
        <x:v>n.a.</x:v>
      </x:c>
      <x:c r="E117" s="89" t="str">
        <x:f>IF(AND(AND(COUNT(D$7:D$12)=6,D$7&gt;=0,D$8&gt;=0,D$9&gt;-1,D$10&gt;=0,D$11&gt;=0,OR(D$12=0,D$12=1)),COUNT(E116,D116)=2),E116+D116*D$10/12*(1-D$12),"n.a.")</x:f>
        <x:v>n.a.</x:v>
      </x:c>
      <x:c r="F117" s="89" t="str">
        <x:f>IF(AND(COUNT(D$7:D$12)=6,D$7&gt;=0,D$8&gt;=0,D$9&gt;-1,D$10&gt;=0,D$11&gt;=0,OR(D$12=0,D$12=1)),D$7+84*D$8,"n.a.")</x:f>
        <x:v>n.a.</x:v>
      </x:c>
      <x:c r="G117" s="89" t="str">
        <x:f>IF(AND(AND(COUNT(E$7:E$12)=6,E$7&gt;=0,E$8&gt;=0,E$9&gt;-1,E$10&gt;=0,E$11&gt;=0,OR(E$12=0,E$12=1)),ISNUMBER(G116)),G116*((1+E$9)^(1/12)+E$10/12*E$12-E$11/12)+E$8,"n.a.")</x:f>
        <x:v>n.a.</x:v>
      </x:c>
      <x:c r="H117" s="89" t="str">
        <x:f>IF(AND(AND(COUNT(E$7:E$12)=6,E$7&gt;=0,E$8&gt;=0,E$9&gt;-1,E$10&gt;=0,E$11&gt;=0,OR(E$12=0,E$12=1)),COUNT(H116,G116)=2),H116+G116*E$10/12*(1-E$12),"n.a.")</x:f>
        <x:v>n.a.</x:v>
      </x:c>
      <x:c r="I117" s="89" t="str">
        <x:f>IF(AND(COUNT(E$7:E$12)=6,E$7&gt;=0,E$8&gt;=0,E$9&gt;-1,E$10&gt;=0,E$11&gt;=0,OR(E$12=0,E$12=1)),E$7+84*E$8,"n.a.")</x:f>
        <x:v>n.a.</x:v>
      </x:c>
      <x:c r="J117" s="89" t="str">
        <x:f>IF(AND(AND(COUNT(F$7:F$12)=6,F$7&gt;=0,F$8&gt;=0,F$9&gt;-1,F$10&gt;=0,F$11&gt;=0,OR(F$12=0,F$12=1)),ISNUMBER(J116)),J116*((1+F$9)^(1/12)+F$10/12*F$12-F$11/12)+F$8,"n.a.")</x:f>
        <x:v>n.a.</x:v>
      </x:c>
      <x:c r="K117" s="89" t="str">
        <x:f>IF(AND(AND(COUNT(F$7:F$12)=6,F$7&gt;=0,F$8&gt;=0,F$9&gt;-1,F$10&gt;=0,F$11&gt;=0,OR(F$12=0,F$12=1)),COUNT(K116,J116)=2),K116+J116*F$10/12*(1-F$12),"n.a.")</x:f>
        <x:v>n.a.</x:v>
      </x:c>
      <x:c r="L117" s="89" t="str">
        <x:f>IF(AND(COUNT(F$7:F$12)=6,F$7&gt;=0,F$8&gt;=0,F$9&gt;-1,F$10&gt;=0,F$11&gt;=0,OR(F$12=0,F$12=1)),F$7+84*F$8,"n.a.")</x:f>
        <x:v>n.a.</x:v>
      </x:c>
    </x:row>
    <x:row r="118">
      <x:c r="C118" t="n">
        <x:v>85</x:v>
      </x:c>
      <x:c r="D118" s="89" t="str">
        <x:f>IF(AND(AND(COUNT(D$7:D$12)=6,D$7&gt;=0,D$8&gt;=0,D$9&gt;-1,D$10&gt;=0,D$11&gt;=0,OR(D$12=0,D$12=1)),ISNUMBER(D117)),D117*((1+D$9)^(1/12)+D$10/12*D$12-D$11/12)+D$8,"n.a.")</x:f>
        <x:v>n.a.</x:v>
      </x:c>
      <x:c r="E118" s="89" t="str">
        <x:f>IF(AND(AND(COUNT(D$7:D$12)=6,D$7&gt;=0,D$8&gt;=0,D$9&gt;-1,D$10&gt;=0,D$11&gt;=0,OR(D$12=0,D$12=1)),COUNT(E117,D117)=2),E117+D117*D$10/12*(1-D$12),"n.a.")</x:f>
        <x:v>n.a.</x:v>
      </x:c>
      <x:c r="F118" s="89" t="str">
        <x:f>IF(AND(COUNT(D$7:D$12)=6,D$7&gt;=0,D$8&gt;=0,D$9&gt;-1,D$10&gt;=0,D$11&gt;=0,OR(D$12=0,D$12=1)),D$7+85*D$8,"n.a.")</x:f>
        <x:v>n.a.</x:v>
      </x:c>
      <x:c r="G118" s="89" t="str">
        <x:f>IF(AND(AND(COUNT(E$7:E$12)=6,E$7&gt;=0,E$8&gt;=0,E$9&gt;-1,E$10&gt;=0,E$11&gt;=0,OR(E$12=0,E$12=1)),ISNUMBER(G117)),G117*((1+E$9)^(1/12)+E$10/12*E$12-E$11/12)+E$8,"n.a.")</x:f>
        <x:v>n.a.</x:v>
      </x:c>
      <x:c r="H118" s="89" t="str">
        <x:f>IF(AND(AND(COUNT(E$7:E$12)=6,E$7&gt;=0,E$8&gt;=0,E$9&gt;-1,E$10&gt;=0,E$11&gt;=0,OR(E$12=0,E$12=1)),COUNT(H117,G117)=2),H117+G117*E$10/12*(1-E$12),"n.a.")</x:f>
        <x:v>n.a.</x:v>
      </x:c>
      <x:c r="I118" s="89" t="str">
        <x:f>IF(AND(COUNT(E$7:E$12)=6,E$7&gt;=0,E$8&gt;=0,E$9&gt;-1,E$10&gt;=0,E$11&gt;=0,OR(E$12=0,E$12=1)),E$7+85*E$8,"n.a.")</x:f>
        <x:v>n.a.</x:v>
      </x:c>
      <x:c r="J118" s="89" t="str">
        <x:f>IF(AND(AND(COUNT(F$7:F$12)=6,F$7&gt;=0,F$8&gt;=0,F$9&gt;-1,F$10&gt;=0,F$11&gt;=0,OR(F$12=0,F$12=1)),ISNUMBER(J117)),J117*((1+F$9)^(1/12)+F$10/12*F$12-F$11/12)+F$8,"n.a.")</x:f>
        <x:v>n.a.</x:v>
      </x:c>
      <x:c r="K118" s="89" t="str">
        <x:f>IF(AND(AND(COUNT(F$7:F$12)=6,F$7&gt;=0,F$8&gt;=0,F$9&gt;-1,F$10&gt;=0,F$11&gt;=0,OR(F$12=0,F$12=1)),COUNT(K117,J117)=2),K117+J117*F$10/12*(1-F$12),"n.a.")</x:f>
        <x:v>n.a.</x:v>
      </x:c>
      <x:c r="L118" s="89" t="str">
        <x:f>IF(AND(COUNT(F$7:F$12)=6,F$7&gt;=0,F$8&gt;=0,F$9&gt;-1,F$10&gt;=0,F$11&gt;=0,OR(F$12=0,F$12=1)),F$7+85*F$8,"n.a.")</x:f>
        <x:v>n.a.</x:v>
      </x:c>
    </x:row>
    <x:row r="119">
      <x:c r="C119" t="n">
        <x:v>86</x:v>
      </x:c>
      <x:c r="D119" s="89" t="str">
        <x:f>IF(AND(AND(COUNT(D$7:D$12)=6,D$7&gt;=0,D$8&gt;=0,D$9&gt;-1,D$10&gt;=0,D$11&gt;=0,OR(D$12=0,D$12=1)),ISNUMBER(D118)),D118*((1+D$9)^(1/12)+D$10/12*D$12-D$11/12)+D$8,"n.a.")</x:f>
        <x:v>n.a.</x:v>
      </x:c>
      <x:c r="E119" s="89" t="str">
        <x:f>IF(AND(AND(COUNT(D$7:D$12)=6,D$7&gt;=0,D$8&gt;=0,D$9&gt;-1,D$10&gt;=0,D$11&gt;=0,OR(D$12=0,D$12=1)),COUNT(E118,D118)=2),E118+D118*D$10/12*(1-D$12),"n.a.")</x:f>
        <x:v>n.a.</x:v>
      </x:c>
      <x:c r="F119" s="89" t="str">
        <x:f>IF(AND(COUNT(D$7:D$12)=6,D$7&gt;=0,D$8&gt;=0,D$9&gt;-1,D$10&gt;=0,D$11&gt;=0,OR(D$12=0,D$12=1)),D$7+86*D$8,"n.a.")</x:f>
        <x:v>n.a.</x:v>
      </x:c>
      <x:c r="G119" s="89" t="str">
        <x:f>IF(AND(AND(COUNT(E$7:E$12)=6,E$7&gt;=0,E$8&gt;=0,E$9&gt;-1,E$10&gt;=0,E$11&gt;=0,OR(E$12=0,E$12=1)),ISNUMBER(G118)),G118*((1+E$9)^(1/12)+E$10/12*E$12-E$11/12)+E$8,"n.a.")</x:f>
        <x:v>n.a.</x:v>
      </x:c>
      <x:c r="H119" s="89" t="str">
        <x:f>IF(AND(AND(COUNT(E$7:E$12)=6,E$7&gt;=0,E$8&gt;=0,E$9&gt;-1,E$10&gt;=0,E$11&gt;=0,OR(E$12=0,E$12=1)),COUNT(H118,G118)=2),H118+G118*E$10/12*(1-E$12),"n.a.")</x:f>
        <x:v>n.a.</x:v>
      </x:c>
      <x:c r="I119" s="89" t="str">
        <x:f>IF(AND(COUNT(E$7:E$12)=6,E$7&gt;=0,E$8&gt;=0,E$9&gt;-1,E$10&gt;=0,E$11&gt;=0,OR(E$12=0,E$12=1)),E$7+86*E$8,"n.a.")</x:f>
        <x:v>n.a.</x:v>
      </x:c>
      <x:c r="J119" s="89" t="str">
        <x:f>IF(AND(AND(COUNT(F$7:F$12)=6,F$7&gt;=0,F$8&gt;=0,F$9&gt;-1,F$10&gt;=0,F$11&gt;=0,OR(F$12=0,F$12=1)),ISNUMBER(J118)),J118*((1+F$9)^(1/12)+F$10/12*F$12-F$11/12)+F$8,"n.a.")</x:f>
        <x:v>n.a.</x:v>
      </x:c>
      <x:c r="K119" s="89" t="str">
        <x:f>IF(AND(AND(COUNT(F$7:F$12)=6,F$7&gt;=0,F$8&gt;=0,F$9&gt;-1,F$10&gt;=0,F$11&gt;=0,OR(F$12=0,F$12=1)),COUNT(K118,J118)=2),K118+J118*F$10/12*(1-F$12),"n.a.")</x:f>
        <x:v>n.a.</x:v>
      </x:c>
      <x:c r="L119" s="89" t="str">
        <x:f>IF(AND(COUNT(F$7:F$12)=6,F$7&gt;=0,F$8&gt;=0,F$9&gt;-1,F$10&gt;=0,F$11&gt;=0,OR(F$12=0,F$12=1)),F$7+86*F$8,"n.a.")</x:f>
        <x:v>n.a.</x:v>
      </x:c>
    </x:row>
    <x:row r="120">
      <x:c r="C120" t="n">
        <x:v>87</x:v>
      </x:c>
      <x:c r="D120" s="89" t="str">
        <x:f>IF(AND(AND(COUNT(D$7:D$12)=6,D$7&gt;=0,D$8&gt;=0,D$9&gt;-1,D$10&gt;=0,D$11&gt;=0,OR(D$12=0,D$12=1)),ISNUMBER(D119)),D119*((1+D$9)^(1/12)+D$10/12*D$12-D$11/12)+D$8,"n.a.")</x:f>
        <x:v>n.a.</x:v>
      </x:c>
      <x:c r="E120" s="89" t="str">
        <x:f>IF(AND(AND(COUNT(D$7:D$12)=6,D$7&gt;=0,D$8&gt;=0,D$9&gt;-1,D$10&gt;=0,D$11&gt;=0,OR(D$12=0,D$12=1)),COUNT(E119,D119)=2),E119+D119*D$10/12*(1-D$12),"n.a.")</x:f>
        <x:v>n.a.</x:v>
      </x:c>
      <x:c r="F120" s="89" t="str">
        <x:f>IF(AND(COUNT(D$7:D$12)=6,D$7&gt;=0,D$8&gt;=0,D$9&gt;-1,D$10&gt;=0,D$11&gt;=0,OR(D$12=0,D$12=1)),D$7+87*D$8,"n.a.")</x:f>
        <x:v>n.a.</x:v>
      </x:c>
      <x:c r="G120" s="89" t="str">
        <x:f>IF(AND(AND(COUNT(E$7:E$12)=6,E$7&gt;=0,E$8&gt;=0,E$9&gt;-1,E$10&gt;=0,E$11&gt;=0,OR(E$12=0,E$12=1)),ISNUMBER(G119)),G119*((1+E$9)^(1/12)+E$10/12*E$12-E$11/12)+E$8,"n.a.")</x:f>
        <x:v>n.a.</x:v>
      </x:c>
      <x:c r="H120" s="89" t="str">
        <x:f>IF(AND(AND(COUNT(E$7:E$12)=6,E$7&gt;=0,E$8&gt;=0,E$9&gt;-1,E$10&gt;=0,E$11&gt;=0,OR(E$12=0,E$12=1)),COUNT(H119,G119)=2),H119+G119*E$10/12*(1-E$12),"n.a.")</x:f>
        <x:v>n.a.</x:v>
      </x:c>
      <x:c r="I120" s="89" t="str">
        <x:f>IF(AND(COUNT(E$7:E$12)=6,E$7&gt;=0,E$8&gt;=0,E$9&gt;-1,E$10&gt;=0,E$11&gt;=0,OR(E$12=0,E$12=1)),E$7+87*E$8,"n.a.")</x:f>
        <x:v>n.a.</x:v>
      </x:c>
      <x:c r="J120" s="89" t="str">
        <x:f>IF(AND(AND(COUNT(F$7:F$12)=6,F$7&gt;=0,F$8&gt;=0,F$9&gt;-1,F$10&gt;=0,F$11&gt;=0,OR(F$12=0,F$12=1)),ISNUMBER(J119)),J119*((1+F$9)^(1/12)+F$10/12*F$12-F$11/12)+F$8,"n.a.")</x:f>
        <x:v>n.a.</x:v>
      </x:c>
      <x:c r="K120" s="89" t="str">
        <x:f>IF(AND(AND(COUNT(F$7:F$12)=6,F$7&gt;=0,F$8&gt;=0,F$9&gt;-1,F$10&gt;=0,F$11&gt;=0,OR(F$12=0,F$12=1)),COUNT(K119,J119)=2),K119+J119*F$10/12*(1-F$12),"n.a.")</x:f>
        <x:v>n.a.</x:v>
      </x:c>
      <x:c r="L120" s="89" t="str">
        <x:f>IF(AND(COUNT(F$7:F$12)=6,F$7&gt;=0,F$8&gt;=0,F$9&gt;-1,F$10&gt;=0,F$11&gt;=0,OR(F$12=0,F$12=1)),F$7+87*F$8,"n.a.")</x:f>
        <x:v>n.a.</x:v>
      </x:c>
    </x:row>
    <x:row r="121">
      <x:c r="C121" t="n">
        <x:v>88</x:v>
      </x:c>
      <x:c r="D121" s="89" t="str">
        <x:f>IF(AND(AND(COUNT(D$7:D$12)=6,D$7&gt;=0,D$8&gt;=0,D$9&gt;-1,D$10&gt;=0,D$11&gt;=0,OR(D$12=0,D$12=1)),ISNUMBER(D120)),D120*((1+D$9)^(1/12)+D$10/12*D$12-D$11/12)+D$8,"n.a.")</x:f>
        <x:v>n.a.</x:v>
      </x:c>
      <x:c r="E121" s="89" t="str">
        <x:f>IF(AND(AND(COUNT(D$7:D$12)=6,D$7&gt;=0,D$8&gt;=0,D$9&gt;-1,D$10&gt;=0,D$11&gt;=0,OR(D$12=0,D$12=1)),COUNT(E120,D120)=2),E120+D120*D$10/12*(1-D$12),"n.a.")</x:f>
        <x:v>n.a.</x:v>
      </x:c>
      <x:c r="F121" s="89" t="str">
        <x:f>IF(AND(COUNT(D$7:D$12)=6,D$7&gt;=0,D$8&gt;=0,D$9&gt;-1,D$10&gt;=0,D$11&gt;=0,OR(D$12=0,D$12=1)),D$7+88*D$8,"n.a.")</x:f>
        <x:v>n.a.</x:v>
      </x:c>
      <x:c r="G121" s="89" t="str">
        <x:f>IF(AND(AND(COUNT(E$7:E$12)=6,E$7&gt;=0,E$8&gt;=0,E$9&gt;-1,E$10&gt;=0,E$11&gt;=0,OR(E$12=0,E$12=1)),ISNUMBER(G120)),G120*((1+E$9)^(1/12)+E$10/12*E$12-E$11/12)+E$8,"n.a.")</x:f>
        <x:v>n.a.</x:v>
      </x:c>
      <x:c r="H121" s="89" t="str">
        <x:f>IF(AND(AND(COUNT(E$7:E$12)=6,E$7&gt;=0,E$8&gt;=0,E$9&gt;-1,E$10&gt;=0,E$11&gt;=0,OR(E$12=0,E$12=1)),COUNT(H120,G120)=2),H120+G120*E$10/12*(1-E$12),"n.a.")</x:f>
        <x:v>n.a.</x:v>
      </x:c>
      <x:c r="I121" s="89" t="str">
        <x:f>IF(AND(COUNT(E$7:E$12)=6,E$7&gt;=0,E$8&gt;=0,E$9&gt;-1,E$10&gt;=0,E$11&gt;=0,OR(E$12=0,E$12=1)),E$7+88*E$8,"n.a.")</x:f>
        <x:v>n.a.</x:v>
      </x:c>
      <x:c r="J121" s="89" t="str">
        <x:f>IF(AND(AND(COUNT(F$7:F$12)=6,F$7&gt;=0,F$8&gt;=0,F$9&gt;-1,F$10&gt;=0,F$11&gt;=0,OR(F$12=0,F$12=1)),ISNUMBER(J120)),J120*((1+F$9)^(1/12)+F$10/12*F$12-F$11/12)+F$8,"n.a.")</x:f>
        <x:v>n.a.</x:v>
      </x:c>
      <x:c r="K121" s="89" t="str">
        <x:f>IF(AND(AND(COUNT(F$7:F$12)=6,F$7&gt;=0,F$8&gt;=0,F$9&gt;-1,F$10&gt;=0,F$11&gt;=0,OR(F$12=0,F$12=1)),COUNT(K120,J120)=2),K120+J120*F$10/12*(1-F$12),"n.a.")</x:f>
        <x:v>n.a.</x:v>
      </x:c>
      <x:c r="L121" s="89" t="str">
        <x:f>IF(AND(COUNT(F$7:F$12)=6,F$7&gt;=0,F$8&gt;=0,F$9&gt;-1,F$10&gt;=0,F$11&gt;=0,OR(F$12=0,F$12=1)),F$7+88*F$8,"n.a.")</x:f>
        <x:v>n.a.</x:v>
      </x:c>
    </x:row>
    <x:row r="122">
      <x:c r="C122" t="n">
        <x:v>89</x:v>
      </x:c>
      <x:c r="D122" s="89" t="str">
        <x:f>IF(AND(AND(COUNT(D$7:D$12)=6,D$7&gt;=0,D$8&gt;=0,D$9&gt;-1,D$10&gt;=0,D$11&gt;=0,OR(D$12=0,D$12=1)),ISNUMBER(D121)),D121*((1+D$9)^(1/12)+D$10/12*D$12-D$11/12)+D$8,"n.a.")</x:f>
        <x:v>n.a.</x:v>
      </x:c>
      <x:c r="E122" s="89" t="str">
        <x:f>IF(AND(AND(COUNT(D$7:D$12)=6,D$7&gt;=0,D$8&gt;=0,D$9&gt;-1,D$10&gt;=0,D$11&gt;=0,OR(D$12=0,D$12=1)),COUNT(E121,D121)=2),E121+D121*D$10/12*(1-D$12),"n.a.")</x:f>
        <x:v>n.a.</x:v>
      </x:c>
      <x:c r="F122" s="89" t="str">
        <x:f>IF(AND(COUNT(D$7:D$12)=6,D$7&gt;=0,D$8&gt;=0,D$9&gt;-1,D$10&gt;=0,D$11&gt;=0,OR(D$12=0,D$12=1)),D$7+89*D$8,"n.a.")</x:f>
        <x:v>n.a.</x:v>
      </x:c>
      <x:c r="G122" s="89" t="str">
        <x:f>IF(AND(AND(COUNT(E$7:E$12)=6,E$7&gt;=0,E$8&gt;=0,E$9&gt;-1,E$10&gt;=0,E$11&gt;=0,OR(E$12=0,E$12=1)),ISNUMBER(G121)),G121*((1+E$9)^(1/12)+E$10/12*E$12-E$11/12)+E$8,"n.a.")</x:f>
        <x:v>n.a.</x:v>
      </x:c>
      <x:c r="H122" s="89" t="str">
        <x:f>IF(AND(AND(COUNT(E$7:E$12)=6,E$7&gt;=0,E$8&gt;=0,E$9&gt;-1,E$10&gt;=0,E$11&gt;=0,OR(E$12=0,E$12=1)),COUNT(H121,G121)=2),H121+G121*E$10/12*(1-E$12),"n.a.")</x:f>
        <x:v>n.a.</x:v>
      </x:c>
      <x:c r="I122" s="89" t="str">
        <x:f>IF(AND(COUNT(E$7:E$12)=6,E$7&gt;=0,E$8&gt;=0,E$9&gt;-1,E$10&gt;=0,E$11&gt;=0,OR(E$12=0,E$12=1)),E$7+89*E$8,"n.a.")</x:f>
        <x:v>n.a.</x:v>
      </x:c>
      <x:c r="J122" s="89" t="str">
        <x:f>IF(AND(AND(COUNT(F$7:F$12)=6,F$7&gt;=0,F$8&gt;=0,F$9&gt;-1,F$10&gt;=0,F$11&gt;=0,OR(F$12=0,F$12=1)),ISNUMBER(J121)),J121*((1+F$9)^(1/12)+F$10/12*F$12-F$11/12)+F$8,"n.a.")</x:f>
        <x:v>n.a.</x:v>
      </x:c>
      <x:c r="K122" s="89" t="str">
        <x:f>IF(AND(AND(COUNT(F$7:F$12)=6,F$7&gt;=0,F$8&gt;=0,F$9&gt;-1,F$10&gt;=0,F$11&gt;=0,OR(F$12=0,F$12=1)),COUNT(K121,J121)=2),K121+J121*F$10/12*(1-F$12),"n.a.")</x:f>
        <x:v>n.a.</x:v>
      </x:c>
      <x:c r="L122" s="89" t="str">
        <x:f>IF(AND(COUNT(F$7:F$12)=6,F$7&gt;=0,F$8&gt;=0,F$9&gt;-1,F$10&gt;=0,F$11&gt;=0,OR(F$12=0,F$12=1)),F$7+89*F$8,"n.a.")</x:f>
        <x:v>n.a.</x:v>
      </x:c>
    </x:row>
    <x:row r="123">
      <x:c r="C123" t="n">
        <x:v>90</x:v>
      </x:c>
      <x:c r="D123" s="89" t="str">
        <x:f>IF(AND(AND(COUNT(D$7:D$12)=6,D$7&gt;=0,D$8&gt;=0,D$9&gt;-1,D$10&gt;=0,D$11&gt;=0,OR(D$12=0,D$12=1)),ISNUMBER(D122)),D122*((1+D$9)^(1/12)+D$10/12*D$12-D$11/12)+D$8,"n.a.")</x:f>
        <x:v>n.a.</x:v>
      </x:c>
      <x:c r="E123" s="89" t="str">
        <x:f>IF(AND(AND(COUNT(D$7:D$12)=6,D$7&gt;=0,D$8&gt;=0,D$9&gt;-1,D$10&gt;=0,D$11&gt;=0,OR(D$12=0,D$12=1)),COUNT(E122,D122)=2),E122+D122*D$10/12*(1-D$12),"n.a.")</x:f>
        <x:v>n.a.</x:v>
      </x:c>
      <x:c r="F123" s="89" t="str">
        <x:f>IF(AND(COUNT(D$7:D$12)=6,D$7&gt;=0,D$8&gt;=0,D$9&gt;-1,D$10&gt;=0,D$11&gt;=0,OR(D$12=0,D$12=1)),D$7+90*D$8,"n.a.")</x:f>
        <x:v>n.a.</x:v>
      </x:c>
      <x:c r="G123" s="89" t="str">
        <x:f>IF(AND(AND(COUNT(E$7:E$12)=6,E$7&gt;=0,E$8&gt;=0,E$9&gt;-1,E$10&gt;=0,E$11&gt;=0,OR(E$12=0,E$12=1)),ISNUMBER(G122)),G122*((1+E$9)^(1/12)+E$10/12*E$12-E$11/12)+E$8,"n.a.")</x:f>
        <x:v>n.a.</x:v>
      </x:c>
      <x:c r="H123" s="89" t="str">
        <x:f>IF(AND(AND(COUNT(E$7:E$12)=6,E$7&gt;=0,E$8&gt;=0,E$9&gt;-1,E$10&gt;=0,E$11&gt;=0,OR(E$12=0,E$12=1)),COUNT(H122,G122)=2),H122+G122*E$10/12*(1-E$12),"n.a.")</x:f>
        <x:v>n.a.</x:v>
      </x:c>
      <x:c r="I123" s="89" t="str">
        <x:f>IF(AND(COUNT(E$7:E$12)=6,E$7&gt;=0,E$8&gt;=0,E$9&gt;-1,E$10&gt;=0,E$11&gt;=0,OR(E$12=0,E$12=1)),E$7+90*E$8,"n.a.")</x:f>
        <x:v>n.a.</x:v>
      </x:c>
      <x:c r="J123" s="89" t="str">
        <x:f>IF(AND(AND(COUNT(F$7:F$12)=6,F$7&gt;=0,F$8&gt;=0,F$9&gt;-1,F$10&gt;=0,F$11&gt;=0,OR(F$12=0,F$12=1)),ISNUMBER(J122)),J122*((1+F$9)^(1/12)+F$10/12*F$12-F$11/12)+F$8,"n.a.")</x:f>
        <x:v>n.a.</x:v>
      </x:c>
      <x:c r="K123" s="89" t="str">
        <x:f>IF(AND(AND(COUNT(F$7:F$12)=6,F$7&gt;=0,F$8&gt;=0,F$9&gt;-1,F$10&gt;=0,F$11&gt;=0,OR(F$12=0,F$12=1)),COUNT(K122,J122)=2),K122+J122*F$10/12*(1-F$12),"n.a.")</x:f>
        <x:v>n.a.</x:v>
      </x:c>
      <x:c r="L123" s="89" t="str">
        <x:f>IF(AND(COUNT(F$7:F$12)=6,F$7&gt;=0,F$8&gt;=0,F$9&gt;-1,F$10&gt;=0,F$11&gt;=0,OR(F$12=0,F$12=1)),F$7+90*F$8,"n.a.")</x:f>
        <x:v>n.a.</x:v>
      </x:c>
    </x:row>
    <x:row r="124">
      <x:c r="C124" t="n">
        <x:v>91</x:v>
      </x:c>
      <x:c r="D124" s="89" t="str">
        <x:f>IF(AND(AND(COUNT(D$7:D$12)=6,D$7&gt;=0,D$8&gt;=0,D$9&gt;-1,D$10&gt;=0,D$11&gt;=0,OR(D$12=0,D$12=1)),ISNUMBER(D123)),D123*((1+D$9)^(1/12)+D$10/12*D$12-D$11/12)+D$8,"n.a.")</x:f>
        <x:v>n.a.</x:v>
      </x:c>
      <x:c r="E124" s="89" t="str">
        <x:f>IF(AND(AND(COUNT(D$7:D$12)=6,D$7&gt;=0,D$8&gt;=0,D$9&gt;-1,D$10&gt;=0,D$11&gt;=0,OR(D$12=0,D$12=1)),COUNT(E123,D123)=2),E123+D123*D$10/12*(1-D$12),"n.a.")</x:f>
        <x:v>n.a.</x:v>
      </x:c>
      <x:c r="F124" s="89" t="str">
        <x:f>IF(AND(COUNT(D$7:D$12)=6,D$7&gt;=0,D$8&gt;=0,D$9&gt;-1,D$10&gt;=0,D$11&gt;=0,OR(D$12=0,D$12=1)),D$7+91*D$8,"n.a.")</x:f>
        <x:v>n.a.</x:v>
      </x:c>
      <x:c r="G124" s="89" t="str">
        <x:f>IF(AND(AND(COUNT(E$7:E$12)=6,E$7&gt;=0,E$8&gt;=0,E$9&gt;-1,E$10&gt;=0,E$11&gt;=0,OR(E$12=0,E$12=1)),ISNUMBER(G123)),G123*((1+E$9)^(1/12)+E$10/12*E$12-E$11/12)+E$8,"n.a.")</x:f>
        <x:v>n.a.</x:v>
      </x:c>
      <x:c r="H124" s="89" t="str">
        <x:f>IF(AND(AND(COUNT(E$7:E$12)=6,E$7&gt;=0,E$8&gt;=0,E$9&gt;-1,E$10&gt;=0,E$11&gt;=0,OR(E$12=0,E$12=1)),COUNT(H123,G123)=2),H123+G123*E$10/12*(1-E$12),"n.a.")</x:f>
        <x:v>n.a.</x:v>
      </x:c>
      <x:c r="I124" s="89" t="str">
        <x:f>IF(AND(COUNT(E$7:E$12)=6,E$7&gt;=0,E$8&gt;=0,E$9&gt;-1,E$10&gt;=0,E$11&gt;=0,OR(E$12=0,E$12=1)),E$7+91*E$8,"n.a.")</x:f>
        <x:v>n.a.</x:v>
      </x:c>
      <x:c r="J124" s="89" t="str">
        <x:f>IF(AND(AND(COUNT(F$7:F$12)=6,F$7&gt;=0,F$8&gt;=0,F$9&gt;-1,F$10&gt;=0,F$11&gt;=0,OR(F$12=0,F$12=1)),ISNUMBER(J123)),J123*((1+F$9)^(1/12)+F$10/12*F$12-F$11/12)+F$8,"n.a.")</x:f>
        <x:v>n.a.</x:v>
      </x:c>
      <x:c r="K124" s="89" t="str">
        <x:f>IF(AND(AND(COUNT(F$7:F$12)=6,F$7&gt;=0,F$8&gt;=0,F$9&gt;-1,F$10&gt;=0,F$11&gt;=0,OR(F$12=0,F$12=1)),COUNT(K123,J123)=2),K123+J123*F$10/12*(1-F$12),"n.a.")</x:f>
        <x:v>n.a.</x:v>
      </x:c>
      <x:c r="L124" s="89" t="str">
        <x:f>IF(AND(COUNT(F$7:F$12)=6,F$7&gt;=0,F$8&gt;=0,F$9&gt;-1,F$10&gt;=0,F$11&gt;=0,OR(F$12=0,F$12=1)),F$7+91*F$8,"n.a.")</x:f>
        <x:v>n.a.</x:v>
      </x:c>
    </x:row>
    <x:row r="125">
      <x:c r="C125" t="n">
        <x:v>92</x:v>
      </x:c>
      <x:c r="D125" s="89" t="str">
        <x:f>IF(AND(AND(COUNT(D$7:D$12)=6,D$7&gt;=0,D$8&gt;=0,D$9&gt;-1,D$10&gt;=0,D$11&gt;=0,OR(D$12=0,D$12=1)),ISNUMBER(D124)),D124*((1+D$9)^(1/12)+D$10/12*D$12-D$11/12)+D$8,"n.a.")</x:f>
        <x:v>n.a.</x:v>
      </x:c>
      <x:c r="E125" s="89" t="str">
        <x:f>IF(AND(AND(COUNT(D$7:D$12)=6,D$7&gt;=0,D$8&gt;=0,D$9&gt;-1,D$10&gt;=0,D$11&gt;=0,OR(D$12=0,D$12=1)),COUNT(E124,D124)=2),E124+D124*D$10/12*(1-D$12),"n.a.")</x:f>
        <x:v>n.a.</x:v>
      </x:c>
      <x:c r="F125" s="89" t="str">
        <x:f>IF(AND(COUNT(D$7:D$12)=6,D$7&gt;=0,D$8&gt;=0,D$9&gt;-1,D$10&gt;=0,D$11&gt;=0,OR(D$12=0,D$12=1)),D$7+92*D$8,"n.a.")</x:f>
        <x:v>n.a.</x:v>
      </x:c>
      <x:c r="G125" s="89" t="str">
        <x:f>IF(AND(AND(COUNT(E$7:E$12)=6,E$7&gt;=0,E$8&gt;=0,E$9&gt;-1,E$10&gt;=0,E$11&gt;=0,OR(E$12=0,E$12=1)),ISNUMBER(G124)),G124*((1+E$9)^(1/12)+E$10/12*E$12-E$11/12)+E$8,"n.a.")</x:f>
        <x:v>n.a.</x:v>
      </x:c>
      <x:c r="H125" s="89" t="str">
        <x:f>IF(AND(AND(COUNT(E$7:E$12)=6,E$7&gt;=0,E$8&gt;=0,E$9&gt;-1,E$10&gt;=0,E$11&gt;=0,OR(E$12=0,E$12=1)),COUNT(H124,G124)=2),H124+G124*E$10/12*(1-E$12),"n.a.")</x:f>
        <x:v>n.a.</x:v>
      </x:c>
      <x:c r="I125" s="89" t="str">
        <x:f>IF(AND(COUNT(E$7:E$12)=6,E$7&gt;=0,E$8&gt;=0,E$9&gt;-1,E$10&gt;=0,E$11&gt;=0,OR(E$12=0,E$12=1)),E$7+92*E$8,"n.a.")</x:f>
        <x:v>n.a.</x:v>
      </x:c>
      <x:c r="J125" s="89" t="str">
        <x:f>IF(AND(AND(COUNT(F$7:F$12)=6,F$7&gt;=0,F$8&gt;=0,F$9&gt;-1,F$10&gt;=0,F$11&gt;=0,OR(F$12=0,F$12=1)),ISNUMBER(J124)),J124*((1+F$9)^(1/12)+F$10/12*F$12-F$11/12)+F$8,"n.a.")</x:f>
        <x:v>n.a.</x:v>
      </x:c>
      <x:c r="K125" s="89" t="str">
        <x:f>IF(AND(AND(COUNT(F$7:F$12)=6,F$7&gt;=0,F$8&gt;=0,F$9&gt;-1,F$10&gt;=0,F$11&gt;=0,OR(F$12=0,F$12=1)),COUNT(K124,J124)=2),K124+J124*F$10/12*(1-F$12),"n.a.")</x:f>
        <x:v>n.a.</x:v>
      </x:c>
      <x:c r="L125" s="89" t="str">
        <x:f>IF(AND(COUNT(F$7:F$12)=6,F$7&gt;=0,F$8&gt;=0,F$9&gt;-1,F$10&gt;=0,F$11&gt;=0,OR(F$12=0,F$12=1)),F$7+92*F$8,"n.a.")</x:f>
        <x:v>n.a.</x:v>
      </x:c>
    </x:row>
    <x:row r="126">
      <x:c r="C126" t="n">
        <x:v>93</x:v>
      </x:c>
      <x:c r="D126" s="89" t="str">
        <x:f>IF(AND(AND(COUNT(D$7:D$12)=6,D$7&gt;=0,D$8&gt;=0,D$9&gt;-1,D$10&gt;=0,D$11&gt;=0,OR(D$12=0,D$12=1)),ISNUMBER(D125)),D125*((1+D$9)^(1/12)+D$10/12*D$12-D$11/12)+D$8,"n.a.")</x:f>
        <x:v>n.a.</x:v>
      </x:c>
      <x:c r="E126" s="89" t="str">
        <x:f>IF(AND(AND(COUNT(D$7:D$12)=6,D$7&gt;=0,D$8&gt;=0,D$9&gt;-1,D$10&gt;=0,D$11&gt;=0,OR(D$12=0,D$12=1)),COUNT(E125,D125)=2),E125+D125*D$10/12*(1-D$12),"n.a.")</x:f>
        <x:v>n.a.</x:v>
      </x:c>
      <x:c r="F126" s="89" t="str">
        <x:f>IF(AND(COUNT(D$7:D$12)=6,D$7&gt;=0,D$8&gt;=0,D$9&gt;-1,D$10&gt;=0,D$11&gt;=0,OR(D$12=0,D$12=1)),D$7+93*D$8,"n.a.")</x:f>
        <x:v>n.a.</x:v>
      </x:c>
      <x:c r="G126" s="89" t="str">
        <x:f>IF(AND(AND(COUNT(E$7:E$12)=6,E$7&gt;=0,E$8&gt;=0,E$9&gt;-1,E$10&gt;=0,E$11&gt;=0,OR(E$12=0,E$12=1)),ISNUMBER(G125)),G125*((1+E$9)^(1/12)+E$10/12*E$12-E$11/12)+E$8,"n.a.")</x:f>
        <x:v>n.a.</x:v>
      </x:c>
      <x:c r="H126" s="89" t="str">
        <x:f>IF(AND(AND(COUNT(E$7:E$12)=6,E$7&gt;=0,E$8&gt;=0,E$9&gt;-1,E$10&gt;=0,E$11&gt;=0,OR(E$12=0,E$12=1)),COUNT(H125,G125)=2),H125+G125*E$10/12*(1-E$12),"n.a.")</x:f>
        <x:v>n.a.</x:v>
      </x:c>
      <x:c r="I126" s="89" t="str">
        <x:f>IF(AND(COUNT(E$7:E$12)=6,E$7&gt;=0,E$8&gt;=0,E$9&gt;-1,E$10&gt;=0,E$11&gt;=0,OR(E$12=0,E$12=1)),E$7+93*E$8,"n.a.")</x:f>
        <x:v>n.a.</x:v>
      </x:c>
      <x:c r="J126" s="89" t="str">
        <x:f>IF(AND(AND(COUNT(F$7:F$12)=6,F$7&gt;=0,F$8&gt;=0,F$9&gt;-1,F$10&gt;=0,F$11&gt;=0,OR(F$12=0,F$12=1)),ISNUMBER(J125)),J125*((1+F$9)^(1/12)+F$10/12*F$12-F$11/12)+F$8,"n.a.")</x:f>
        <x:v>n.a.</x:v>
      </x:c>
      <x:c r="K126" s="89" t="str">
        <x:f>IF(AND(AND(COUNT(F$7:F$12)=6,F$7&gt;=0,F$8&gt;=0,F$9&gt;-1,F$10&gt;=0,F$11&gt;=0,OR(F$12=0,F$12=1)),COUNT(K125,J125)=2),K125+J125*F$10/12*(1-F$12),"n.a.")</x:f>
        <x:v>n.a.</x:v>
      </x:c>
      <x:c r="L126" s="89" t="str">
        <x:f>IF(AND(COUNT(F$7:F$12)=6,F$7&gt;=0,F$8&gt;=0,F$9&gt;-1,F$10&gt;=0,F$11&gt;=0,OR(F$12=0,F$12=1)),F$7+93*F$8,"n.a.")</x:f>
        <x:v>n.a.</x:v>
      </x:c>
    </x:row>
    <x:row r="127">
      <x:c r="C127" t="n">
        <x:v>94</x:v>
      </x:c>
      <x:c r="D127" s="89" t="str">
        <x:f>IF(AND(AND(COUNT(D$7:D$12)=6,D$7&gt;=0,D$8&gt;=0,D$9&gt;-1,D$10&gt;=0,D$11&gt;=0,OR(D$12=0,D$12=1)),ISNUMBER(D126)),D126*((1+D$9)^(1/12)+D$10/12*D$12-D$11/12)+D$8,"n.a.")</x:f>
        <x:v>n.a.</x:v>
      </x:c>
      <x:c r="E127" s="89" t="str">
        <x:f>IF(AND(AND(COUNT(D$7:D$12)=6,D$7&gt;=0,D$8&gt;=0,D$9&gt;-1,D$10&gt;=0,D$11&gt;=0,OR(D$12=0,D$12=1)),COUNT(E126,D126)=2),E126+D126*D$10/12*(1-D$12),"n.a.")</x:f>
        <x:v>n.a.</x:v>
      </x:c>
      <x:c r="F127" s="89" t="str">
        <x:f>IF(AND(COUNT(D$7:D$12)=6,D$7&gt;=0,D$8&gt;=0,D$9&gt;-1,D$10&gt;=0,D$11&gt;=0,OR(D$12=0,D$12=1)),D$7+94*D$8,"n.a.")</x:f>
        <x:v>n.a.</x:v>
      </x:c>
      <x:c r="G127" s="89" t="str">
        <x:f>IF(AND(AND(COUNT(E$7:E$12)=6,E$7&gt;=0,E$8&gt;=0,E$9&gt;-1,E$10&gt;=0,E$11&gt;=0,OR(E$12=0,E$12=1)),ISNUMBER(G126)),G126*((1+E$9)^(1/12)+E$10/12*E$12-E$11/12)+E$8,"n.a.")</x:f>
        <x:v>n.a.</x:v>
      </x:c>
      <x:c r="H127" s="89" t="str">
        <x:f>IF(AND(AND(COUNT(E$7:E$12)=6,E$7&gt;=0,E$8&gt;=0,E$9&gt;-1,E$10&gt;=0,E$11&gt;=0,OR(E$12=0,E$12=1)),COUNT(H126,G126)=2),H126+G126*E$10/12*(1-E$12),"n.a.")</x:f>
        <x:v>n.a.</x:v>
      </x:c>
      <x:c r="I127" s="89" t="str">
        <x:f>IF(AND(COUNT(E$7:E$12)=6,E$7&gt;=0,E$8&gt;=0,E$9&gt;-1,E$10&gt;=0,E$11&gt;=0,OR(E$12=0,E$12=1)),E$7+94*E$8,"n.a.")</x:f>
        <x:v>n.a.</x:v>
      </x:c>
      <x:c r="J127" s="89" t="str">
        <x:f>IF(AND(AND(COUNT(F$7:F$12)=6,F$7&gt;=0,F$8&gt;=0,F$9&gt;-1,F$10&gt;=0,F$11&gt;=0,OR(F$12=0,F$12=1)),ISNUMBER(J126)),J126*((1+F$9)^(1/12)+F$10/12*F$12-F$11/12)+F$8,"n.a.")</x:f>
        <x:v>n.a.</x:v>
      </x:c>
      <x:c r="K127" s="89" t="str">
        <x:f>IF(AND(AND(COUNT(F$7:F$12)=6,F$7&gt;=0,F$8&gt;=0,F$9&gt;-1,F$10&gt;=0,F$11&gt;=0,OR(F$12=0,F$12=1)),COUNT(K126,J126)=2),K126+J126*F$10/12*(1-F$12),"n.a.")</x:f>
        <x:v>n.a.</x:v>
      </x:c>
      <x:c r="L127" s="89" t="str">
        <x:f>IF(AND(COUNT(F$7:F$12)=6,F$7&gt;=0,F$8&gt;=0,F$9&gt;-1,F$10&gt;=0,F$11&gt;=0,OR(F$12=0,F$12=1)),F$7+94*F$8,"n.a.")</x:f>
        <x:v>n.a.</x:v>
      </x:c>
    </x:row>
    <x:row r="128">
      <x:c r="C128" t="n">
        <x:v>95</x:v>
      </x:c>
      <x:c r="D128" s="89" t="str">
        <x:f>IF(AND(AND(COUNT(D$7:D$12)=6,D$7&gt;=0,D$8&gt;=0,D$9&gt;-1,D$10&gt;=0,D$11&gt;=0,OR(D$12=0,D$12=1)),ISNUMBER(D127)),D127*((1+D$9)^(1/12)+D$10/12*D$12-D$11/12)+D$8,"n.a.")</x:f>
        <x:v>n.a.</x:v>
      </x:c>
      <x:c r="E128" s="89" t="str">
        <x:f>IF(AND(AND(COUNT(D$7:D$12)=6,D$7&gt;=0,D$8&gt;=0,D$9&gt;-1,D$10&gt;=0,D$11&gt;=0,OR(D$12=0,D$12=1)),COUNT(E127,D127)=2),E127+D127*D$10/12*(1-D$12),"n.a.")</x:f>
        <x:v>n.a.</x:v>
      </x:c>
      <x:c r="F128" s="89" t="str">
        <x:f>IF(AND(COUNT(D$7:D$12)=6,D$7&gt;=0,D$8&gt;=0,D$9&gt;-1,D$10&gt;=0,D$11&gt;=0,OR(D$12=0,D$12=1)),D$7+95*D$8,"n.a.")</x:f>
        <x:v>n.a.</x:v>
      </x:c>
      <x:c r="G128" s="89" t="str">
        <x:f>IF(AND(AND(COUNT(E$7:E$12)=6,E$7&gt;=0,E$8&gt;=0,E$9&gt;-1,E$10&gt;=0,E$11&gt;=0,OR(E$12=0,E$12=1)),ISNUMBER(G127)),G127*((1+E$9)^(1/12)+E$10/12*E$12-E$11/12)+E$8,"n.a.")</x:f>
        <x:v>n.a.</x:v>
      </x:c>
      <x:c r="H128" s="89" t="str">
        <x:f>IF(AND(AND(COUNT(E$7:E$12)=6,E$7&gt;=0,E$8&gt;=0,E$9&gt;-1,E$10&gt;=0,E$11&gt;=0,OR(E$12=0,E$12=1)),COUNT(H127,G127)=2),H127+G127*E$10/12*(1-E$12),"n.a.")</x:f>
        <x:v>n.a.</x:v>
      </x:c>
      <x:c r="I128" s="89" t="str">
        <x:f>IF(AND(COUNT(E$7:E$12)=6,E$7&gt;=0,E$8&gt;=0,E$9&gt;-1,E$10&gt;=0,E$11&gt;=0,OR(E$12=0,E$12=1)),E$7+95*E$8,"n.a.")</x:f>
        <x:v>n.a.</x:v>
      </x:c>
      <x:c r="J128" s="89" t="str">
        <x:f>IF(AND(AND(COUNT(F$7:F$12)=6,F$7&gt;=0,F$8&gt;=0,F$9&gt;-1,F$10&gt;=0,F$11&gt;=0,OR(F$12=0,F$12=1)),ISNUMBER(J127)),J127*((1+F$9)^(1/12)+F$10/12*F$12-F$11/12)+F$8,"n.a.")</x:f>
        <x:v>n.a.</x:v>
      </x:c>
      <x:c r="K128" s="89" t="str">
        <x:f>IF(AND(AND(COUNT(F$7:F$12)=6,F$7&gt;=0,F$8&gt;=0,F$9&gt;-1,F$10&gt;=0,F$11&gt;=0,OR(F$12=0,F$12=1)),COUNT(K127,J127)=2),K127+J127*F$10/12*(1-F$12),"n.a.")</x:f>
        <x:v>n.a.</x:v>
      </x:c>
      <x:c r="L128" s="89" t="str">
        <x:f>IF(AND(COUNT(F$7:F$12)=6,F$7&gt;=0,F$8&gt;=0,F$9&gt;-1,F$10&gt;=0,F$11&gt;=0,OR(F$12=0,F$12=1)),F$7+95*F$8,"n.a.")</x:f>
        <x:v>n.a.</x:v>
      </x:c>
    </x:row>
    <x:row r="129">
      <x:c r="C129" t="n">
        <x:v>96</x:v>
      </x:c>
      <x:c r="D129" s="89" t="str">
        <x:f>IF(AND(AND(COUNT(D$7:D$12)=6,D$7&gt;=0,D$8&gt;=0,D$9&gt;-1,D$10&gt;=0,D$11&gt;=0,OR(D$12=0,D$12=1)),ISNUMBER(D128)),D128*((1+D$9)^(1/12)+D$10/12*D$12-D$11/12)+D$8,"n.a.")</x:f>
        <x:v>n.a.</x:v>
      </x:c>
      <x:c r="E129" s="89" t="str">
        <x:f>IF(AND(AND(COUNT(D$7:D$12)=6,D$7&gt;=0,D$8&gt;=0,D$9&gt;-1,D$10&gt;=0,D$11&gt;=0,OR(D$12=0,D$12=1)),COUNT(E128,D128)=2),E128+D128*D$10/12*(1-D$12),"n.a.")</x:f>
        <x:v>n.a.</x:v>
      </x:c>
      <x:c r="F129" s="89" t="str">
        <x:f>IF(AND(COUNT(D$7:D$12)=6,D$7&gt;=0,D$8&gt;=0,D$9&gt;-1,D$10&gt;=0,D$11&gt;=0,OR(D$12=0,D$12=1)),D$7+96*D$8,"n.a.")</x:f>
        <x:v>n.a.</x:v>
      </x:c>
      <x:c r="G129" s="89" t="str">
        <x:f>IF(AND(AND(COUNT(E$7:E$12)=6,E$7&gt;=0,E$8&gt;=0,E$9&gt;-1,E$10&gt;=0,E$11&gt;=0,OR(E$12=0,E$12=1)),ISNUMBER(G128)),G128*((1+E$9)^(1/12)+E$10/12*E$12-E$11/12)+E$8,"n.a.")</x:f>
        <x:v>n.a.</x:v>
      </x:c>
      <x:c r="H129" s="89" t="str">
        <x:f>IF(AND(AND(COUNT(E$7:E$12)=6,E$7&gt;=0,E$8&gt;=0,E$9&gt;-1,E$10&gt;=0,E$11&gt;=0,OR(E$12=0,E$12=1)),COUNT(H128,G128)=2),H128+G128*E$10/12*(1-E$12),"n.a.")</x:f>
        <x:v>n.a.</x:v>
      </x:c>
      <x:c r="I129" s="89" t="str">
        <x:f>IF(AND(COUNT(E$7:E$12)=6,E$7&gt;=0,E$8&gt;=0,E$9&gt;-1,E$10&gt;=0,E$11&gt;=0,OR(E$12=0,E$12=1)),E$7+96*E$8,"n.a.")</x:f>
        <x:v>n.a.</x:v>
      </x:c>
      <x:c r="J129" s="89" t="str">
        <x:f>IF(AND(AND(COUNT(F$7:F$12)=6,F$7&gt;=0,F$8&gt;=0,F$9&gt;-1,F$10&gt;=0,F$11&gt;=0,OR(F$12=0,F$12=1)),ISNUMBER(J128)),J128*((1+F$9)^(1/12)+F$10/12*F$12-F$11/12)+F$8,"n.a.")</x:f>
        <x:v>n.a.</x:v>
      </x:c>
      <x:c r="K129" s="89" t="str">
        <x:f>IF(AND(AND(COUNT(F$7:F$12)=6,F$7&gt;=0,F$8&gt;=0,F$9&gt;-1,F$10&gt;=0,F$11&gt;=0,OR(F$12=0,F$12=1)),COUNT(K128,J128)=2),K128+J128*F$10/12*(1-F$12),"n.a.")</x:f>
        <x:v>n.a.</x:v>
      </x:c>
      <x:c r="L129" s="89" t="str">
        <x:f>IF(AND(COUNT(F$7:F$12)=6,F$7&gt;=0,F$8&gt;=0,F$9&gt;-1,F$10&gt;=0,F$11&gt;=0,OR(F$12=0,F$12=1)),F$7+96*F$8,"n.a.")</x:f>
        <x:v>n.a.</x:v>
      </x:c>
    </x:row>
    <x:row r="130">
      <x:c r="C130" t="n">
        <x:v>97</x:v>
      </x:c>
      <x:c r="D130" s="89" t="str">
        <x:f>IF(AND(AND(COUNT(D$7:D$12)=6,D$7&gt;=0,D$8&gt;=0,D$9&gt;-1,D$10&gt;=0,D$11&gt;=0,OR(D$12=0,D$12=1)),ISNUMBER(D129)),D129*((1+D$9)^(1/12)+D$10/12*D$12-D$11/12)+D$8,"n.a.")</x:f>
        <x:v>n.a.</x:v>
      </x:c>
      <x:c r="E130" s="89" t="str">
        <x:f>IF(AND(AND(COUNT(D$7:D$12)=6,D$7&gt;=0,D$8&gt;=0,D$9&gt;-1,D$10&gt;=0,D$11&gt;=0,OR(D$12=0,D$12=1)),COUNT(E129,D129)=2),E129+D129*D$10/12*(1-D$12),"n.a.")</x:f>
        <x:v>n.a.</x:v>
      </x:c>
      <x:c r="F130" s="89" t="str">
        <x:f>IF(AND(COUNT(D$7:D$12)=6,D$7&gt;=0,D$8&gt;=0,D$9&gt;-1,D$10&gt;=0,D$11&gt;=0,OR(D$12=0,D$12=1)),D$7+97*D$8,"n.a.")</x:f>
        <x:v>n.a.</x:v>
      </x:c>
      <x:c r="G130" s="89" t="str">
        <x:f>IF(AND(AND(COUNT(E$7:E$12)=6,E$7&gt;=0,E$8&gt;=0,E$9&gt;-1,E$10&gt;=0,E$11&gt;=0,OR(E$12=0,E$12=1)),ISNUMBER(G129)),G129*((1+E$9)^(1/12)+E$10/12*E$12-E$11/12)+E$8,"n.a.")</x:f>
        <x:v>n.a.</x:v>
      </x:c>
      <x:c r="H130" s="89" t="str">
        <x:f>IF(AND(AND(COUNT(E$7:E$12)=6,E$7&gt;=0,E$8&gt;=0,E$9&gt;-1,E$10&gt;=0,E$11&gt;=0,OR(E$12=0,E$12=1)),COUNT(H129,G129)=2),H129+G129*E$10/12*(1-E$12),"n.a.")</x:f>
        <x:v>n.a.</x:v>
      </x:c>
      <x:c r="I130" s="89" t="str">
        <x:f>IF(AND(COUNT(E$7:E$12)=6,E$7&gt;=0,E$8&gt;=0,E$9&gt;-1,E$10&gt;=0,E$11&gt;=0,OR(E$12=0,E$12=1)),E$7+97*E$8,"n.a.")</x:f>
        <x:v>n.a.</x:v>
      </x:c>
      <x:c r="J130" s="89" t="str">
        <x:f>IF(AND(AND(COUNT(F$7:F$12)=6,F$7&gt;=0,F$8&gt;=0,F$9&gt;-1,F$10&gt;=0,F$11&gt;=0,OR(F$12=0,F$12=1)),ISNUMBER(J129)),J129*((1+F$9)^(1/12)+F$10/12*F$12-F$11/12)+F$8,"n.a.")</x:f>
        <x:v>n.a.</x:v>
      </x:c>
      <x:c r="K130" s="89" t="str">
        <x:f>IF(AND(AND(COUNT(F$7:F$12)=6,F$7&gt;=0,F$8&gt;=0,F$9&gt;-1,F$10&gt;=0,F$11&gt;=0,OR(F$12=0,F$12=1)),COUNT(K129,J129)=2),K129+J129*F$10/12*(1-F$12),"n.a.")</x:f>
        <x:v>n.a.</x:v>
      </x:c>
      <x:c r="L130" s="89" t="str">
        <x:f>IF(AND(COUNT(F$7:F$12)=6,F$7&gt;=0,F$8&gt;=0,F$9&gt;-1,F$10&gt;=0,F$11&gt;=0,OR(F$12=0,F$12=1)),F$7+97*F$8,"n.a.")</x:f>
        <x:v>n.a.</x:v>
      </x:c>
    </x:row>
    <x:row r="131">
      <x:c r="C131" t="n">
        <x:v>98</x:v>
      </x:c>
      <x:c r="D131" s="89" t="str">
        <x:f>IF(AND(AND(COUNT(D$7:D$12)=6,D$7&gt;=0,D$8&gt;=0,D$9&gt;-1,D$10&gt;=0,D$11&gt;=0,OR(D$12=0,D$12=1)),ISNUMBER(D130)),D130*((1+D$9)^(1/12)+D$10/12*D$12-D$11/12)+D$8,"n.a.")</x:f>
        <x:v>n.a.</x:v>
      </x:c>
      <x:c r="E131" s="89" t="str">
        <x:f>IF(AND(AND(COUNT(D$7:D$12)=6,D$7&gt;=0,D$8&gt;=0,D$9&gt;-1,D$10&gt;=0,D$11&gt;=0,OR(D$12=0,D$12=1)),COUNT(E130,D130)=2),E130+D130*D$10/12*(1-D$12),"n.a.")</x:f>
        <x:v>n.a.</x:v>
      </x:c>
      <x:c r="F131" s="89" t="str">
        <x:f>IF(AND(COUNT(D$7:D$12)=6,D$7&gt;=0,D$8&gt;=0,D$9&gt;-1,D$10&gt;=0,D$11&gt;=0,OR(D$12=0,D$12=1)),D$7+98*D$8,"n.a.")</x:f>
        <x:v>n.a.</x:v>
      </x:c>
      <x:c r="G131" s="89" t="str">
        <x:f>IF(AND(AND(COUNT(E$7:E$12)=6,E$7&gt;=0,E$8&gt;=0,E$9&gt;-1,E$10&gt;=0,E$11&gt;=0,OR(E$12=0,E$12=1)),ISNUMBER(G130)),G130*((1+E$9)^(1/12)+E$10/12*E$12-E$11/12)+E$8,"n.a.")</x:f>
        <x:v>n.a.</x:v>
      </x:c>
      <x:c r="H131" s="89" t="str">
        <x:f>IF(AND(AND(COUNT(E$7:E$12)=6,E$7&gt;=0,E$8&gt;=0,E$9&gt;-1,E$10&gt;=0,E$11&gt;=0,OR(E$12=0,E$12=1)),COUNT(H130,G130)=2),H130+G130*E$10/12*(1-E$12),"n.a.")</x:f>
        <x:v>n.a.</x:v>
      </x:c>
      <x:c r="I131" s="89" t="str">
        <x:f>IF(AND(COUNT(E$7:E$12)=6,E$7&gt;=0,E$8&gt;=0,E$9&gt;-1,E$10&gt;=0,E$11&gt;=0,OR(E$12=0,E$12=1)),E$7+98*E$8,"n.a.")</x:f>
        <x:v>n.a.</x:v>
      </x:c>
      <x:c r="J131" s="89" t="str">
        <x:f>IF(AND(AND(COUNT(F$7:F$12)=6,F$7&gt;=0,F$8&gt;=0,F$9&gt;-1,F$10&gt;=0,F$11&gt;=0,OR(F$12=0,F$12=1)),ISNUMBER(J130)),J130*((1+F$9)^(1/12)+F$10/12*F$12-F$11/12)+F$8,"n.a.")</x:f>
        <x:v>n.a.</x:v>
      </x:c>
      <x:c r="K131" s="89" t="str">
        <x:f>IF(AND(AND(COUNT(F$7:F$12)=6,F$7&gt;=0,F$8&gt;=0,F$9&gt;-1,F$10&gt;=0,F$11&gt;=0,OR(F$12=0,F$12=1)),COUNT(K130,J130)=2),K130+J130*F$10/12*(1-F$12),"n.a.")</x:f>
        <x:v>n.a.</x:v>
      </x:c>
      <x:c r="L131" s="89" t="str">
        <x:f>IF(AND(COUNT(F$7:F$12)=6,F$7&gt;=0,F$8&gt;=0,F$9&gt;-1,F$10&gt;=0,F$11&gt;=0,OR(F$12=0,F$12=1)),F$7+98*F$8,"n.a.")</x:f>
        <x:v>n.a.</x:v>
      </x:c>
    </x:row>
    <x:row r="132">
      <x:c r="C132" t="n">
        <x:v>99</x:v>
      </x:c>
      <x:c r="D132" s="89" t="str">
        <x:f>IF(AND(AND(COUNT(D$7:D$12)=6,D$7&gt;=0,D$8&gt;=0,D$9&gt;-1,D$10&gt;=0,D$11&gt;=0,OR(D$12=0,D$12=1)),ISNUMBER(D131)),D131*((1+D$9)^(1/12)+D$10/12*D$12-D$11/12)+D$8,"n.a.")</x:f>
        <x:v>n.a.</x:v>
      </x:c>
      <x:c r="E132" s="89" t="str">
        <x:f>IF(AND(AND(COUNT(D$7:D$12)=6,D$7&gt;=0,D$8&gt;=0,D$9&gt;-1,D$10&gt;=0,D$11&gt;=0,OR(D$12=0,D$12=1)),COUNT(E131,D131)=2),E131+D131*D$10/12*(1-D$12),"n.a.")</x:f>
        <x:v>n.a.</x:v>
      </x:c>
      <x:c r="F132" s="89" t="str">
        <x:f>IF(AND(COUNT(D$7:D$12)=6,D$7&gt;=0,D$8&gt;=0,D$9&gt;-1,D$10&gt;=0,D$11&gt;=0,OR(D$12=0,D$12=1)),D$7+99*D$8,"n.a.")</x:f>
        <x:v>n.a.</x:v>
      </x:c>
      <x:c r="G132" s="89" t="str">
        <x:f>IF(AND(AND(COUNT(E$7:E$12)=6,E$7&gt;=0,E$8&gt;=0,E$9&gt;-1,E$10&gt;=0,E$11&gt;=0,OR(E$12=0,E$12=1)),ISNUMBER(G131)),G131*((1+E$9)^(1/12)+E$10/12*E$12-E$11/12)+E$8,"n.a.")</x:f>
        <x:v>n.a.</x:v>
      </x:c>
      <x:c r="H132" s="89" t="str">
        <x:f>IF(AND(AND(COUNT(E$7:E$12)=6,E$7&gt;=0,E$8&gt;=0,E$9&gt;-1,E$10&gt;=0,E$11&gt;=0,OR(E$12=0,E$12=1)),COUNT(H131,G131)=2),H131+G131*E$10/12*(1-E$12),"n.a.")</x:f>
        <x:v>n.a.</x:v>
      </x:c>
      <x:c r="I132" s="89" t="str">
        <x:f>IF(AND(COUNT(E$7:E$12)=6,E$7&gt;=0,E$8&gt;=0,E$9&gt;-1,E$10&gt;=0,E$11&gt;=0,OR(E$12=0,E$12=1)),E$7+99*E$8,"n.a.")</x:f>
        <x:v>n.a.</x:v>
      </x:c>
      <x:c r="J132" s="89" t="str">
        <x:f>IF(AND(AND(COUNT(F$7:F$12)=6,F$7&gt;=0,F$8&gt;=0,F$9&gt;-1,F$10&gt;=0,F$11&gt;=0,OR(F$12=0,F$12=1)),ISNUMBER(J131)),J131*((1+F$9)^(1/12)+F$10/12*F$12-F$11/12)+F$8,"n.a.")</x:f>
        <x:v>n.a.</x:v>
      </x:c>
      <x:c r="K132" s="89" t="str">
        <x:f>IF(AND(AND(COUNT(F$7:F$12)=6,F$7&gt;=0,F$8&gt;=0,F$9&gt;-1,F$10&gt;=0,F$11&gt;=0,OR(F$12=0,F$12=1)),COUNT(K131,J131)=2),K131+J131*F$10/12*(1-F$12),"n.a.")</x:f>
        <x:v>n.a.</x:v>
      </x:c>
      <x:c r="L132" s="89" t="str">
        <x:f>IF(AND(COUNT(F$7:F$12)=6,F$7&gt;=0,F$8&gt;=0,F$9&gt;-1,F$10&gt;=0,F$11&gt;=0,OR(F$12=0,F$12=1)),F$7+99*F$8,"n.a.")</x:f>
        <x:v>n.a.</x:v>
      </x:c>
    </x:row>
    <x:row r="133">
      <x:c r="C133" t="n">
        <x:v>100</x:v>
      </x:c>
      <x:c r="D133" s="89" t="str">
        <x:f>IF(AND(AND(COUNT(D$7:D$12)=6,D$7&gt;=0,D$8&gt;=0,D$9&gt;-1,D$10&gt;=0,D$11&gt;=0,OR(D$12=0,D$12=1)),ISNUMBER(D132)),D132*((1+D$9)^(1/12)+D$10/12*D$12-D$11/12)+D$8,"n.a.")</x:f>
        <x:v>n.a.</x:v>
      </x:c>
      <x:c r="E133" s="89" t="str">
        <x:f>IF(AND(AND(COUNT(D$7:D$12)=6,D$7&gt;=0,D$8&gt;=0,D$9&gt;-1,D$10&gt;=0,D$11&gt;=0,OR(D$12=0,D$12=1)),COUNT(E132,D132)=2),E132+D132*D$10/12*(1-D$12),"n.a.")</x:f>
        <x:v>n.a.</x:v>
      </x:c>
      <x:c r="F133" s="89" t="str">
        <x:f>IF(AND(COUNT(D$7:D$12)=6,D$7&gt;=0,D$8&gt;=0,D$9&gt;-1,D$10&gt;=0,D$11&gt;=0,OR(D$12=0,D$12=1)),D$7+100*D$8,"n.a.")</x:f>
        <x:v>n.a.</x:v>
      </x:c>
      <x:c r="G133" s="89" t="str">
        <x:f>IF(AND(AND(COUNT(E$7:E$12)=6,E$7&gt;=0,E$8&gt;=0,E$9&gt;-1,E$10&gt;=0,E$11&gt;=0,OR(E$12=0,E$12=1)),ISNUMBER(G132)),G132*((1+E$9)^(1/12)+E$10/12*E$12-E$11/12)+E$8,"n.a.")</x:f>
        <x:v>n.a.</x:v>
      </x:c>
      <x:c r="H133" s="89" t="str">
        <x:f>IF(AND(AND(COUNT(E$7:E$12)=6,E$7&gt;=0,E$8&gt;=0,E$9&gt;-1,E$10&gt;=0,E$11&gt;=0,OR(E$12=0,E$12=1)),COUNT(H132,G132)=2),H132+G132*E$10/12*(1-E$12),"n.a.")</x:f>
        <x:v>n.a.</x:v>
      </x:c>
      <x:c r="I133" s="89" t="str">
        <x:f>IF(AND(COUNT(E$7:E$12)=6,E$7&gt;=0,E$8&gt;=0,E$9&gt;-1,E$10&gt;=0,E$11&gt;=0,OR(E$12=0,E$12=1)),E$7+100*E$8,"n.a.")</x:f>
        <x:v>n.a.</x:v>
      </x:c>
      <x:c r="J133" s="89" t="str">
        <x:f>IF(AND(AND(COUNT(F$7:F$12)=6,F$7&gt;=0,F$8&gt;=0,F$9&gt;-1,F$10&gt;=0,F$11&gt;=0,OR(F$12=0,F$12=1)),ISNUMBER(J132)),J132*((1+F$9)^(1/12)+F$10/12*F$12-F$11/12)+F$8,"n.a.")</x:f>
        <x:v>n.a.</x:v>
      </x:c>
      <x:c r="K133" s="89" t="str">
        <x:f>IF(AND(AND(COUNT(F$7:F$12)=6,F$7&gt;=0,F$8&gt;=0,F$9&gt;-1,F$10&gt;=0,F$11&gt;=0,OR(F$12=0,F$12=1)),COUNT(K132,J132)=2),K132+J132*F$10/12*(1-F$12),"n.a.")</x:f>
        <x:v>n.a.</x:v>
      </x:c>
      <x:c r="L133" s="89" t="str">
        <x:f>IF(AND(COUNT(F$7:F$12)=6,F$7&gt;=0,F$8&gt;=0,F$9&gt;-1,F$10&gt;=0,F$11&gt;=0,OR(F$12=0,F$12=1)),F$7+100*F$8,"n.a.")</x:f>
        <x:v>n.a.</x:v>
      </x:c>
    </x:row>
    <x:row r="134">
      <x:c r="C134" t="n">
        <x:v>101</x:v>
      </x:c>
      <x:c r="D134" s="89" t="str">
        <x:f>IF(AND(AND(COUNT(D$7:D$12)=6,D$7&gt;=0,D$8&gt;=0,D$9&gt;-1,D$10&gt;=0,D$11&gt;=0,OR(D$12=0,D$12=1)),ISNUMBER(D133)),D133*((1+D$9)^(1/12)+D$10/12*D$12-D$11/12)+D$8,"n.a.")</x:f>
        <x:v>n.a.</x:v>
      </x:c>
      <x:c r="E134" s="89" t="str">
        <x:f>IF(AND(AND(COUNT(D$7:D$12)=6,D$7&gt;=0,D$8&gt;=0,D$9&gt;-1,D$10&gt;=0,D$11&gt;=0,OR(D$12=0,D$12=1)),COUNT(E133,D133)=2),E133+D133*D$10/12*(1-D$12),"n.a.")</x:f>
        <x:v>n.a.</x:v>
      </x:c>
      <x:c r="F134" s="89" t="str">
        <x:f>IF(AND(COUNT(D$7:D$12)=6,D$7&gt;=0,D$8&gt;=0,D$9&gt;-1,D$10&gt;=0,D$11&gt;=0,OR(D$12=0,D$12=1)),D$7+101*D$8,"n.a.")</x:f>
        <x:v>n.a.</x:v>
      </x:c>
      <x:c r="G134" s="89" t="str">
        <x:f>IF(AND(AND(COUNT(E$7:E$12)=6,E$7&gt;=0,E$8&gt;=0,E$9&gt;-1,E$10&gt;=0,E$11&gt;=0,OR(E$12=0,E$12=1)),ISNUMBER(G133)),G133*((1+E$9)^(1/12)+E$10/12*E$12-E$11/12)+E$8,"n.a.")</x:f>
        <x:v>n.a.</x:v>
      </x:c>
      <x:c r="H134" s="89" t="str">
        <x:f>IF(AND(AND(COUNT(E$7:E$12)=6,E$7&gt;=0,E$8&gt;=0,E$9&gt;-1,E$10&gt;=0,E$11&gt;=0,OR(E$12=0,E$12=1)),COUNT(H133,G133)=2),H133+G133*E$10/12*(1-E$12),"n.a.")</x:f>
        <x:v>n.a.</x:v>
      </x:c>
      <x:c r="I134" s="89" t="str">
        <x:f>IF(AND(COUNT(E$7:E$12)=6,E$7&gt;=0,E$8&gt;=0,E$9&gt;-1,E$10&gt;=0,E$11&gt;=0,OR(E$12=0,E$12=1)),E$7+101*E$8,"n.a.")</x:f>
        <x:v>n.a.</x:v>
      </x:c>
      <x:c r="J134" s="89" t="str">
        <x:f>IF(AND(AND(COUNT(F$7:F$12)=6,F$7&gt;=0,F$8&gt;=0,F$9&gt;-1,F$10&gt;=0,F$11&gt;=0,OR(F$12=0,F$12=1)),ISNUMBER(J133)),J133*((1+F$9)^(1/12)+F$10/12*F$12-F$11/12)+F$8,"n.a.")</x:f>
        <x:v>n.a.</x:v>
      </x:c>
      <x:c r="K134" s="89" t="str">
        <x:f>IF(AND(AND(COUNT(F$7:F$12)=6,F$7&gt;=0,F$8&gt;=0,F$9&gt;-1,F$10&gt;=0,F$11&gt;=0,OR(F$12=0,F$12=1)),COUNT(K133,J133)=2),K133+J133*F$10/12*(1-F$12),"n.a.")</x:f>
        <x:v>n.a.</x:v>
      </x:c>
      <x:c r="L134" s="89" t="str">
        <x:f>IF(AND(COUNT(F$7:F$12)=6,F$7&gt;=0,F$8&gt;=0,F$9&gt;-1,F$10&gt;=0,F$11&gt;=0,OR(F$12=0,F$12=1)),F$7+101*F$8,"n.a.")</x:f>
        <x:v>n.a.</x:v>
      </x:c>
    </x:row>
    <x:row r="135">
      <x:c r="C135" t="n">
        <x:v>102</x:v>
      </x:c>
      <x:c r="D135" s="89" t="str">
        <x:f>IF(AND(AND(COUNT(D$7:D$12)=6,D$7&gt;=0,D$8&gt;=0,D$9&gt;-1,D$10&gt;=0,D$11&gt;=0,OR(D$12=0,D$12=1)),ISNUMBER(D134)),D134*((1+D$9)^(1/12)+D$10/12*D$12-D$11/12)+D$8,"n.a.")</x:f>
        <x:v>n.a.</x:v>
      </x:c>
      <x:c r="E135" s="89" t="str">
        <x:f>IF(AND(AND(COUNT(D$7:D$12)=6,D$7&gt;=0,D$8&gt;=0,D$9&gt;-1,D$10&gt;=0,D$11&gt;=0,OR(D$12=0,D$12=1)),COUNT(E134,D134)=2),E134+D134*D$10/12*(1-D$12),"n.a.")</x:f>
        <x:v>n.a.</x:v>
      </x:c>
      <x:c r="F135" s="89" t="str">
        <x:f>IF(AND(COUNT(D$7:D$12)=6,D$7&gt;=0,D$8&gt;=0,D$9&gt;-1,D$10&gt;=0,D$11&gt;=0,OR(D$12=0,D$12=1)),D$7+102*D$8,"n.a.")</x:f>
        <x:v>n.a.</x:v>
      </x:c>
      <x:c r="G135" s="89" t="str">
        <x:f>IF(AND(AND(COUNT(E$7:E$12)=6,E$7&gt;=0,E$8&gt;=0,E$9&gt;-1,E$10&gt;=0,E$11&gt;=0,OR(E$12=0,E$12=1)),ISNUMBER(G134)),G134*((1+E$9)^(1/12)+E$10/12*E$12-E$11/12)+E$8,"n.a.")</x:f>
        <x:v>n.a.</x:v>
      </x:c>
      <x:c r="H135" s="89" t="str">
        <x:f>IF(AND(AND(COUNT(E$7:E$12)=6,E$7&gt;=0,E$8&gt;=0,E$9&gt;-1,E$10&gt;=0,E$11&gt;=0,OR(E$12=0,E$12=1)),COUNT(H134,G134)=2),H134+G134*E$10/12*(1-E$12),"n.a.")</x:f>
        <x:v>n.a.</x:v>
      </x:c>
      <x:c r="I135" s="89" t="str">
        <x:f>IF(AND(COUNT(E$7:E$12)=6,E$7&gt;=0,E$8&gt;=0,E$9&gt;-1,E$10&gt;=0,E$11&gt;=0,OR(E$12=0,E$12=1)),E$7+102*E$8,"n.a.")</x:f>
        <x:v>n.a.</x:v>
      </x:c>
      <x:c r="J135" s="89" t="str">
        <x:f>IF(AND(AND(COUNT(F$7:F$12)=6,F$7&gt;=0,F$8&gt;=0,F$9&gt;-1,F$10&gt;=0,F$11&gt;=0,OR(F$12=0,F$12=1)),ISNUMBER(J134)),J134*((1+F$9)^(1/12)+F$10/12*F$12-F$11/12)+F$8,"n.a.")</x:f>
        <x:v>n.a.</x:v>
      </x:c>
      <x:c r="K135" s="89" t="str">
        <x:f>IF(AND(AND(COUNT(F$7:F$12)=6,F$7&gt;=0,F$8&gt;=0,F$9&gt;-1,F$10&gt;=0,F$11&gt;=0,OR(F$12=0,F$12=1)),COUNT(K134,J134)=2),K134+J134*F$10/12*(1-F$12),"n.a.")</x:f>
        <x:v>n.a.</x:v>
      </x:c>
      <x:c r="L135" s="89" t="str">
        <x:f>IF(AND(COUNT(F$7:F$12)=6,F$7&gt;=0,F$8&gt;=0,F$9&gt;-1,F$10&gt;=0,F$11&gt;=0,OR(F$12=0,F$12=1)),F$7+102*F$8,"n.a.")</x:f>
        <x:v>n.a.</x:v>
      </x:c>
    </x:row>
    <x:row r="136">
      <x:c r="C136" t="n">
        <x:v>103</x:v>
      </x:c>
      <x:c r="D136" s="89" t="str">
        <x:f>IF(AND(AND(COUNT(D$7:D$12)=6,D$7&gt;=0,D$8&gt;=0,D$9&gt;-1,D$10&gt;=0,D$11&gt;=0,OR(D$12=0,D$12=1)),ISNUMBER(D135)),D135*((1+D$9)^(1/12)+D$10/12*D$12-D$11/12)+D$8,"n.a.")</x:f>
        <x:v>n.a.</x:v>
      </x:c>
      <x:c r="E136" s="89" t="str">
        <x:f>IF(AND(AND(COUNT(D$7:D$12)=6,D$7&gt;=0,D$8&gt;=0,D$9&gt;-1,D$10&gt;=0,D$11&gt;=0,OR(D$12=0,D$12=1)),COUNT(E135,D135)=2),E135+D135*D$10/12*(1-D$12),"n.a.")</x:f>
        <x:v>n.a.</x:v>
      </x:c>
      <x:c r="F136" s="89" t="str">
        <x:f>IF(AND(COUNT(D$7:D$12)=6,D$7&gt;=0,D$8&gt;=0,D$9&gt;-1,D$10&gt;=0,D$11&gt;=0,OR(D$12=0,D$12=1)),D$7+103*D$8,"n.a.")</x:f>
        <x:v>n.a.</x:v>
      </x:c>
      <x:c r="G136" s="89" t="str">
        <x:f>IF(AND(AND(COUNT(E$7:E$12)=6,E$7&gt;=0,E$8&gt;=0,E$9&gt;-1,E$10&gt;=0,E$11&gt;=0,OR(E$12=0,E$12=1)),ISNUMBER(G135)),G135*((1+E$9)^(1/12)+E$10/12*E$12-E$11/12)+E$8,"n.a.")</x:f>
        <x:v>n.a.</x:v>
      </x:c>
      <x:c r="H136" s="89" t="str">
        <x:f>IF(AND(AND(COUNT(E$7:E$12)=6,E$7&gt;=0,E$8&gt;=0,E$9&gt;-1,E$10&gt;=0,E$11&gt;=0,OR(E$12=0,E$12=1)),COUNT(H135,G135)=2),H135+G135*E$10/12*(1-E$12),"n.a.")</x:f>
        <x:v>n.a.</x:v>
      </x:c>
      <x:c r="I136" s="89" t="str">
        <x:f>IF(AND(COUNT(E$7:E$12)=6,E$7&gt;=0,E$8&gt;=0,E$9&gt;-1,E$10&gt;=0,E$11&gt;=0,OR(E$12=0,E$12=1)),E$7+103*E$8,"n.a.")</x:f>
        <x:v>n.a.</x:v>
      </x:c>
      <x:c r="J136" s="89" t="str">
        <x:f>IF(AND(AND(COUNT(F$7:F$12)=6,F$7&gt;=0,F$8&gt;=0,F$9&gt;-1,F$10&gt;=0,F$11&gt;=0,OR(F$12=0,F$12=1)),ISNUMBER(J135)),J135*((1+F$9)^(1/12)+F$10/12*F$12-F$11/12)+F$8,"n.a.")</x:f>
        <x:v>n.a.</x:v>
      </x:c>
      <x:c r="K136" s="89" t="str">
        <x:f>IF(AND(AND(COUNT(F$7:F$12)=6,F$7&gt;=0,F$8&gt;=0,F$9&gt;-1,F$10&gt;=0,F$11&gt;=0,OR(F$12=0,F$12=1)),COUNT(K135,J135)=2),K135+J135*F$10/12*(1-F$12),"n.a.")</x:f>
        <x:v>n.a.</x:v>
      </x:c>
      <x:c r="L136" s="89" t="str">
        <x:f>IF(AND(COUNT(F$7:F$12)=6,F$7&gt;=0,F$8&gt;=0,F$9&gt;-1,F$10&gt;=0,F$11&gt;=0,OR(F$12=0,F$12=1)),F$7+103*F$8,"n.a.")</x:f>
        <x:v>n.a.</x:v>
      </x:c>
    </x:row>
    <x:row r="137">
      <x:c r="C137" t="n">
        <x:v>104</x:v>
      </x:c>
      <x:c r="D137" s="89" t="str">
        <x:f>IF(AND(AND(COUNT(D$7:D$12)=6,D$7&gt;=0,D$8&gt;=0,D$9&gt;-1,D$10&gt;=0,D$11&gt;=0,OR(D$12=0,D$12=1)),ISNUMBER(D136)),D136*((1+D$9)^(1/12)+D$10/12*D$12-D$11/12)+D$8,"n.a.")</x:f>
        <x:v>n.a.</x:v>
      </x:c>
      <x:c r="E137" s="89" t="str">
        <x:f>IF(AND(AND(COUNT(D$7:D$12)=6,D$7&gt;=0,D$8&gt;=0,D$9&gt;-1,D$10&gt;=0,D$11&gt;=0,OR(D$12=0,D$12=1)),COUNT(E136,D136)=2),E136+D136*D$10/12*(1-D$12),"n.a.")</x:f>
        <x:v>n.a.</x:v>
      </x:c>
      <x:c r="F137" s="89" t="str">
        <x:f>IF(AND(COUNT(D$7:D$12)=6,D$7&gt;=0,D$8&gt;=0,D$9&gt;-1,D$10&gt;=0,D$11&gt;=0,OR(D$12=0,D$12=1)),D$7+104*D$8,"n.a.")</x:f>
        <x:v>n.a.</x:v>
      </x:c>
      <x:c r="G137" s="89" t="str">
        <x:f>IF(AND(AND(COUNT(E$7:E$12)=6,E$7&gt;=0,E$8&gt;=0,E$9&gt;-1,E$10&gt;=0,E$11&gt;=0,OR(E$12=0,E$12=1)),ISNUMBER(G136)),G136*((1+E$9)^(1/12)+E$10/12*E$12-E$11/12)+E$8,"n.a.")</x:f>
        <x:v>n.a.</x:v>
      </x:c>
      <x:c r="H137" s="89" t="str">
        <x:f>IF(AND(AND(COUNT(E$7:E$12)=6,E$7&gt;=0,E$8&gt;=0,E$9&gt;-1,E$10&gt;=0,E$11&gt;=0,OR(E$12=0,E$12=1)),COUNT(H136,G136)=2),H136+G136*E$10/12*(1-E$12),"n.a.")</x:f>
        <x:v>n.a.</x:v>
      </x:c>
      <x:c r="I137" s="89" t="str">
        <x:f>IF(AND(COUNT(E$7:E$12)=6,E$7&gt;=0,E$8&gt;=0,E$9&gt;-1,E$10&gt;=0,E$11&gt;=0,OR(E$12=0,E$12=1)),E$7+104*E$8,"n.a.")</x:f>
        <x:v>n.a.</x:v>
      </x:c>
      <x:c r="J137" s="89" t="str">
        <x:f>IF(AND(AND(COUNT(F$7:F$12)=6,F$7&gt;=0,F$8&gt;=0,F$9&gt;-1,F$10&gt;=0,F$11&gt;=0,OR(F$12=0,F$12=1)),ISNUMBER(J136)),J136*((1+F$9)^(1/12)+F$10/12*F$12-F$11/12)+F$8,"n.a.")</x:f>
        <x:v>n.a.</x:v>
      </x:c>
      <x:c r="K137" s="89" t="str">
        <x:f>IF(AND(AND(COUNT(F$7:F$12)=6,F$7&gt;=0,F$8&gt;=0,F$9&gt;-1,F$10&gt;=0,F$11&gt;=0,OR(F$12=0,F$12=1)),COUNT(K136,J136)=2),K136+J136*F$10/12*(1-F$12),"n.a.")</x:f>
        <x:v>n.a.</x:v>
      </x:c>
      <x:c r="L137" s="89" t="str">
        <x:f>IF(AND(COUNT(F$7:F$12)=6,F$7&gt;=0,F$8&gt;=0,F$9&gt;-1,F$10&gt;=0,F$11&gt;=0,OR(F$12=0,F$12=1)),F$7+104*F$8,"n.a.")</x:f>
        <x:v>n.a.</x:v>
      </x:c>
    </x:row>
    <x:row r="138">
      <x:c r="C138" t="n">
        <x:v>105</x:v>
      </x:c>
      <x:c r="D138" s="89" t="str">
        <x:f>IF(AND(AND(COUNT(D$7:D$12)=6,D$7&gt;=0,D$8&gt;=0,D$9&gt;-1,D$10&gt;=0,D$11&gt;=0,OR(D$12=0,D$12=1)),ISNUMBER(D137)),D137*((1+D$9)^(1/12)+D$10/12*D$12-D$11/12)+D$8,"n.a.")</x:f>
        <x:v>n.a.</x:v>
      </x:c>
      <x:c r="E138" s="89" t="str">
        <x:f>IF(AND(AND(COUNT(D$7:D$12)=6,D$7&gt;=0,D$8&gt;=0,D$9&gt;-1,D$10&gt;=0,D$11&gt;=0,OR(D$12=0,D$12=1)),COUNT(E137,D137)=2),E137+D137*D$10/12*(1-D$12),"n.a.")</x:f>
        <x:v>n.a.</x:v>
      </x:c>
      <x:c r="F138" s="89" t="str">
        <x:f>IF(AND(COUNT(D$7:D$12)=6,D$7&gt;=0,D$8&gt;=0,D$9&gt;-1,D$10&gt;=0,D$11&gt;=0,OR(D$12=0,D$12=1)),D$7+105*D$8,"n.a.")</x:f>
        <x:v>n.a.</x:v>
      </x:c>
      <x:c r="G138" s="89" t="str">
        <x:f>IF(AND(AND(COUNT(E$7:E$12)=6,E$7&gt;=0,E$8&gt;=0,E$9&gt;-1,E$10&gt;=0,E$11&gt;=0,OR(E$12=0,E$12=1)),ISNUMBER(G137)),G137*((1+E$9)^(1/12)+E$10/12*E$12-E$11/12)+E$8,"n.a.")</x:f>
        <x:v>n.a.</x:v>
      </x:c>
      <x:c r="H138" s="89" t="str">
        <x:f>IF(AND(AND(COUNT(E$7:E$12)=6,E$7&gt;=0,E$8&gt;=0,E$9&gt;-1,E$10&gt;=0,E$11&gt;=0,OR(E$12=0,E$12=1)),COUNT(H137,G137)=2),H137+G137*E$10/12*(1-E$12),"n.a.")</x:f>
        <x:v>n.a.</x:v>
      </x:c>
      <x:c r="I138" s="89" t="str">
        <x:f>IF(AND(COUNT(E$7:E$12)=6,E$7&gt;=0,E$8&gt;=0,E$9&gt;-1,E$10&gt;=0,E$11&gt;=0,OR(E$12=0,E$12=1)),E$7+105*E$8,"n.a.")</x:f>
        <x:v>n.a.</x:v>
      </x:c>
      <x:c r="J138" s="89" t="str">
        <x:f>IF(AND(AND(COUNT(F$7:F$12)=6,F$7&gt;=0,F$8&gt;=0,F$9&gt;-1,F$10&gt;=0,F$11&gt;=0,OR(F$12=0,F$12=1)),ISNUMBER(J137)),J137*((1+F$9)^(1/12)+F$10/12*F$12-F$11/12)+F$8,"n.a.")</x:f>
        <x:v>n.a.</x:v>
      </x:c>
      <x:c r="K138" s="89" t="str">
        <x:f>IF(AND(AND(COUNT(F$7:F$12)=6,F$7&gt;=0,F$8&gt;=0,F$9&gt;-1,F$10&gt;=0,F$11&gt;=0,OR(F$12=0,F$12=1)),COUNT(K137,J137)=2),K137+J137*F$10/12*(1-F$12),"n.a.")</x:f>
        <x:v>n.a.</x:v>
      </x:c>
      <x:c r="L138" s="89" t="str">
        <x:f>IF(AND(COUNT(F$7:F$12)=6,F$7&gt;=0,F$8&gt;=0,F$9&gt;-1,F$10&gt;=0,F$11&gt;=0,OR(F$12=0,F$12=1)),F$7+105*F$8,"n.a.")</x:f>
        <x:v>n.a.</x:v>
      </x:c>
    </x:row>
    <x:row r="139">
      <x:c r="C139" t="n">
        <x:v>106</x:v>
      </x:c>
      <x:c r="D139" s="89" t="str">
        <x:f>IF(AND(AND(COUNT(D$7:D$12)=6,D$7&gt;=0,D$8&gt;=0,D$9&gt;-1,D$10&gt;=0,D$11&gt;=0,OR(D$12=0,D$12=1)),ISNUMBER(D138)),D138*((1+D$9)^(1/12)+D$10/12*D$12-D$11/12)+D$8,"n.a.")</x:f>
        <x:v>n.a.</x:v>
      </x:c>
      <x:c r="E139" s="89" t="str">
        <x:f>IF(AND(AND(COUNT(D$7:D$12)=6,D$7&gt;=0,D$8&gt;=0,D$9&gt;-1,D$10&gt;=0,D$11&gt;=0,OR(D$12=0,D$12=1)),COUNT(E138,D138)=2),E138+D138*D$10/12*(1-D$12),"n.a.")</x:f>
        <x:v>n.a.</x:v>
      </x:c>
      <x:c r="F139" s="89" t="str">
        <x:f>IF(AND(COUNT(D$7:D$12)=6,D$7&gt;=0,D$8&gt;=0,D$9&gt;-1,D$10&gt;=0,D$11&gt;=0,OR(D$12=0,D$12=1)),D$7+106*D$8,"n.a.")</x:f>
        <x:v>n.a.</x:v>
      </x:c>
      <x:c r="G139" s="89" t="str">
        <x:f>IF(AND(AND(COUNT(E$7:E$12)=6,E$7&gt;=0,E$8&gt;=0,E$9&gt;-1,E$10&gt;=0,E$11&gt;=0,OR(E$12=0,E$12=1)),ISNUMBER(G138)),G138*((1+E$9)^(1/12)+E$10/12*E$12-E$11/12)+E$8,"n.a.")</x:f>
        <x:v>n.a.</x:v>
      </x:c>
      <x:c r="H139" s="89" t="str">
        <x:f>IF(AND(AND(COUNT(E$7:E$12)=6,E$7&gt;=0,E$8&gt;=0,E$9&gt;-1,E$10&gt;=0,E$11&gt;=0,OR(E$12=0,E$12=1)),COUNT(H138,G138)=2),H138+G138*E$10/12*(1-E$12),"n.a.")</x:f>
        <x:v>n.a.</x:v>
      </x:c>
      <x:c r="I139" s="89" t="str">
        <x:f>IF(AND(COUNT(E$7:E$12)=6,E$7&gt;=0,E$8&gt;=0,E$9&gt;-1,E$10&gt;=0,E$11&gt;=0,OR(E$12=0,E$12=1)),E$7+106*E$8,"n.a.")</x:f>
        <x:v>n.a.</x:v>
      </x:c>
      <x:c r="J139" s="89" t="str">
        <x:f>IF(AND(AND(COUNT(F$7:F$12)=6,F$7&gt;=0,F$8&gt;=0,F$9&gt;-1,F$10&gt;=0,F$11&gt;=0,OR(F$12=0,F$12=1)),ISNUMBER(J138)),J138*((1+F$9)^(1/12)+F$10/12*F$12-F$11/12)+F$8,"n.a.")</x:f>
        <x:v>n.a.</x:v>
      </x:c>
      <x:c r="K139" s="89" t="str">
        <x:f>IF(AND(AND(COUNT(F$7:F$12)=6,F$7&gt;=0,F$8&gt;=0,F$9&gt;-1,F$10&gt;=0,F$11&gt;=0,OR(F$12=0,F$12=1)),COUNT(K138,J138)=2),K138+J138*F$10/12*(1-F$12),"n.a.")</x:f>
        <x:v>n.a.</x:v>
      </x:c>
      <x:c r="L139" s="89" t="str">
        <x:f>IF(AND(COUNT(F$7:F$12)=6,F$7&gt;=0,F$8&gt;=0,F$9&gt;-1,F$10&gt;=0,F$11&gt;=0,OR(F$12=0,F$12=1)),F$7+106*F$8,"n.a.")</x:f>
        <x:v>n.a.</x:v>
      </x:c>
    </x:row>
    <x:row r="140">
      <x:c r="C140" t="n">
        <x:v>107</x:v>
      </x:c>
      <x:c r="D140" s="89" t="str">
        <x:f>IF(AND(AND(COUNT(D$7:D$12)=6,D$7&gt;=0,D$8&gt;=0,D$9&gt;-1,D$10&gt;=0,D$11&gt;=0,OR(D$12=0,D$12=1)),ISNUMBER(D139)),D139*((1+D$9)^(1/12)+D$10/12*D$12-D$11/12)+D$8,"n.a.")</x:f>
        <x:v>n.a.</x:v>
      </x:c>
      <x:c r="E140" s="89" t="str">
        <x:f>IF(AND(AND(COUNT(D$7:D$12)=6,D$7&gt;=0,D$8&gt;=0,D$9&gt;-1,D$10&gt;=0,D$11&gt;=0,OR(D$12=0,D$12=1)),COUNT(E139,D139)=2),E139+D139*D$10/12*(1-D$12),"n.a.")</x:f>
        <x:v>n.a.</x:v>
      </x:c>
      <x:c r="F140" s="89" t="str">
        <x:f>IF(AND(COUNT(D$7:D$12)=6,D$7&gt;=0,D$8&gt;=0,D$9&gt;-1,D$10&gt;=0,D$11&gt;=0,OR(D$12=0,D$12=1)),D$7+107*D$8,"n.a.")</x:f>
        <x:v>n.a.</x:v>
      </x:c>
      <x:c r="G140" s="89" t="str">
        <x:f>IF(AND(AND(COUNT(E$7:E$12)=6,E$7&gt;=0,E$8&gt;=0,E$9&gt;-1,E$10&gt;=0,E$11&gt;=0,OR(E$12=0,E$12=1)),ISNUMBER(G139)),G139*((1+E$9)^(1/12)+E$10/12*E$12-E$11/12)+E$8,"n.a.")</x:f>
        <x:v>n.a.</x:v>
      </x:c>
      <x:c r="H140" s="89" t="str">
        <x:f>IF(AND(AND(COUNT(E$7:E$12)=6,E$7&gt;=0,E$8&gt;=0,E$9&gt;-1,E$10&gt;=0,E$11&gt;=0,OR(E$12=0,E$12=1)),COUNT(H139,G139)=2),H139+G139*E$10/12*(1-E$12),"n.a.")</x:f>
        <x:v>n.a.</x:v>
      </x:c>
      <x:c r="I140" s="89" t="str">
        <x:f>IF(AND(COUNT(E$7:E$12)=6,E$7&gt;=0,E$8&gt;=0,E$9&gt;-1,E$10&gt;=0,E$11&gt;=0,OR(E$12=0,E$12=1)),E$7+107*E$8,"n.a.")</x:f>
        <x:v>n.a.</x:v>
      </x:c>
      <x:c r="J140" s="89" t="str">
        <x:f>IF(AND(AND(COUNT(F$7:F$12)=6,F$7&gt;=0,F$8&gt;=0,F$9&gt;-1,F$10&gt;=0,F$11&gt;=0,OR(F$12=0,F$12=1)),ISNUMBER(J139)),J139*((1+F$9)^(1/12)+F$10/12*F$12-F$11/12)+F$8,"n.a.")</x:f>
        <x:v>n.a.</x:v>
      </x:c>
      <x:c r="K140" s="89" t="str">
        <x:f>IF(AND(AND(COUNT(F$7:F$12)=6,F$7&gt;=0,F$8&gt;=0,F$9&gt;-1,F$10&gt;=0,F$11&gt;=0,OR(F$12=0,F$12=1)),COUNT(K139,J139)=2),K139+J139*F$10/12*(1-F$12),"n.a.")</x:f>
        <x:v>n.a.</x:v>
      </x:c>
      <x:c r="L140" s="89" t="str">
        <x:f>IF(AND(COUNT(F$7:F$12)=6,F$7&gt;=0,F$8&gt;=0,F$9&gt;-1,F$10&gt;=0,F$11&gt;=0,OR(F$12=0,F$12=1)),F$7+107*F$8,"n.a.")</x:f>
        <x:v>n.a.</x:v>
      </x:c>
    </x:row>
    <x:row r="141">
      <x:c r="C141" t="n">
        <x:v>108</x:v>
      </x:c>
      <x:c r="D141" s="89" t="str">
        <x:f>IF(AND(AND(COUNT(D$7:D$12)=6,D$7&gt;=0,D$8&gt;=0,D$9&gt;-1,D$10&gt;=0,D$11&gt;=0,OR(D$12=0,D$12=1)),ISNUMBER(D140)),D140*((1+D$9)^(1/12)+D$10/12*D$12-D$11/12)+D$8,"n.a.")</x:f>
        <x:v>n.a.</x:v>
      </x:c>
      <x:c r="E141" s="89" t="str">
        <x:f>IF(AND(AND(COUNT(D$7:D$12)=6,D$7&gt;=0,D$8&gt;=0,D$9&gt;-1,D$10&gt;=0,D$11&gt;=0,OR(D$12=0,D$12=1)),COUNT(E140,D140)=2),E140+D140*D$10/12*(1-D$12),"n.a.")</x:f>
        <x:v>n.a.</x:v>
      </x:c>
      <x:c r="F141" s="89" t="str">
        <x:f>IF(AND(COUNT(D$7:D$12)=6,D$7&gt;=0,D$8&gt;=0,D$9&gt;-1,D$10&gt;=0,D$11&gt;=0,OR(D$12=0,D$12=1)),D$7+108*D$8,"n.a.")</x:f>
        <x:v>n.a.</x:v>
      </x:c>
      <x:c r="G141" s="89" t="str">
        <x:f>IF(AND(AND(COUNT(E$7:E$12)=6,E$7&gt;=0,E$8&gt;=0,E$9&gt;-1,E$10&gt;=0,E$11&gt;=0,OR(E$12=0,E$12=1)),ISNUMBER(G140)),G140*((1+E$9)^(1/12)+E$10/12*E$12-E$11/12)+E$8,"n.a.")</x:f>
        <x:v>n.a.</x:v>
      </x:c>
      <x:c r="H141" s="89" t="str">
        <x:f>IF(AND(AND(COUNT(E$7:E$12)=6,E$7&gt;=0,E$8&gt;=0,E$9&gt;-1,E$10&gt;=0,E$11&gt;=0,OR(E$12=0,E$12=1)),COUNT(H140,G140)=2),H140+G140*E$10/12*(1-E$12),"n.a.")</x:f>
        <x:v>n.a.</x:v>
      </x:c>
      <x:c r="I141" s="89" t="str">
        <x:f>IF(AND(COUNT(E$7:E$12)=6,E$7&gt;=0,E$8&gt;=0,E$9&gt;-1,E$10&gt;=0,E$11&gt;=0,OR(E$12=0,E$12=1)),E$7+108*E$8,"n.a.")</x:f>
        <x:v>n.a.</x:v>
      </x:c>
      <x:c r="J141" s="89" t="str">
        <x:f>IF(AND(AND(COUNT(F$7:F$12)=6,F$7&gt;=0,F$8&gt;=0,F$9&gt;-1,F$10&gt;=0,F$11&gt;=0,OR(F$12=0,F$12=1)),ISNUMBER(J140)),J140*((1+F$9)^(1/12)+F$10/12*F$12-F$11/12)+F$8,"n.a.")</x:f>
        <x:v>n.a.</x:v>
      </x:c>
      <x:c r="K141" s="89" t="str">
        <x:f>IF(AND(AND(COUNT(F$7:F$12)=6,F$7&gt;=0,F$8&gt;=0,F$9&gt;-1,F$10&gt;=0,F$11&gt;=0,OR(F$12=0,F$12=1)),COUNT(K140,J140)=2),K140+J140*F$10/12*(1-F$12),"n.a.")</x:f>
        <x:v>n.a.</x:v>
      </x:c>
      <x:c r="L141" s="89" t="str">
        <x:f>IF(AND(COUNT(F$7:F$12)=6,F$7&gt;=0,F$8&gt;=0,F$9&gt;-1,F$10&gt;=0,F$11&gt;=0,OR(F$12=0,F$12=1)),F$7+108*F$8,"n.a.")</x:f>
        <x:v>n.a.</x:v>
      </x:c>
    </x:row>
    <x:row r="142">
      <x:c r="C142" t="n">
        <x:v>109</x:v>
      </x:c>
      <x:c r="D142" s="89" t="str">
        <x:f>IF(AND(AND(COUNT(D$7:D$12)=6,D$7&gt;=0,D$8&gt;=0,D$9&gt;-1,D$10&gt;=0,D$11&gt;=0,OR(D$12=0,D$12=1)),ISNUMBER(D141)),D141*((1+D$9)^(1/12)+D$10/12*D$12-D$11/12)+D$8,"n.a.")</x:f>
        <x:v>n.a.</x:v>
      </x:c>
      <x:c r="E142" s="89" t="str">
        <x:f>IF(AND(AND(COUNT(D$7:D$12)=6,D$7&gt;=0,D$8&gt;=0,D$9&gt;-1,D$10&gt;=0,D$11&gt;=0,OR(D$12=0,D$12=1)),COUNT(E141,D141)=2),E141+D141*D$10/12*(1-D$12),"n.a.")</x:f>
        <x:v>n.a.</x:v>
      </x:c>
      <x:c r="F142" s="89" t="str">
        <x:f>IF(AND(COUNT(D$7:D$12)=6,D$7&gt;=0,D$8&gt;=0,D$9&gt;-1,D$10&gt;=0,D$11&gt;=0,OR(D$12=0,D$12=1)),D$7+109*D$8,"n.a.")</x:f>
        <x:v>n.a.</x:v>
      </x:c>
      <x:c r="G142" s="89" t="str">
        <x:f>IF(AND(AND(COUNT(E$7:E$12)=6,E$7&gt;=0,E$8&gt;=0,E$9&gt;-1,E$10&gt;=0,E$11&gt;=0,OR(E$12=0,E$12=1)),ISNUMBER(G141)),G141*((1+E$9)^(1/12)+E$10/12*E$12-E$11/12)+E$8,"n.a.")</x:f>
        <x:v>n.a.</x:v>
      </x:c>
      <x:c r="H142" s="89" t="str">
        <x:f>IF(AND(AND(COUNT(E$7:E$12)=6,E$7&gt;=0,E$8&gt;=0,E$9&gt;-1,E$10&gt;=0,E$11&gt;=0,OR(E$12=0,E$12=1)),COUNT(H141,G141)=2),H141+G141*E$10/12*(1-E$12),"n.a.")</x:f>
        <x:v>n.a.</x:v>
      </x:c>
      <x:c r="I142" s="89" t="str">
        <x:f>IF(AND(COUNT(E$7:E$12)=6,E$7&gt;=0,E$8&gt;=0,E$9&gt;-1,E$10&gt;=0,E$11&gt;=0,OR(E$12=0,E$12=1)),E$7+109*E$8,"n.a.")</x:f>
        <x:v>n.a.</x:v>
      </x:c>
      <x:c r="J142" s="89" t="str">
        <x:f>IF(AND(AND(COUNT(F$7:F$12)=6,F$7&gt;=0,F$8&gt;=0,F$9&gt;-1,F$10&gt;=0,F$11&gt;=0,OR(F$12=0,F$12=1)),ISNUMBER(J141)),J141*((1+F$9)^(1/12)+F$10/12*F$12-F$11/12)+F$8,"n.a.")</x:f>
        <x:v>n.a.</x:v>
      </x:c>
      <x:c r="K142" s="89" t="str">
        <x:f>IF(AND(AND(COUNT(F$7:F$12)=6,F$7&gt;=0,F$8&gt;=0,F$9&gt;-1,F$10&gt;=0,F$11&gt;=0,OR(F$12=0,F$12=1)),COUNT(K141,J141)=2),K141+J141*F$10/12*(1-F$12),"n.a.")</x:f>
        <x:v>n.a.</x:v>
      </x:c>
      <x:c r="L142" s="89" t="str">
        <x:f>IF(AND(COUNT(F$7:F$12)=6,F$7&gt;=0,F$8&gt;=0,F$9&gt;-1,F$10&gt;=0,F$11&gt;=0,OR(F$12=0,F$12=1)),F$7+109*F$8,"n.a.")</x:f>
        <x:v>n.a.</x:v>
      </x:c>
    </x:row>
    <x:row r="143">
      <x:c r="C143" t="n">
        <x:v>110</x:v>
      </x:c>
      <x:c r="D143" s="89" t="str">
        <x:f>IF(AND(AND(COUNT(D$7:D$12)=6,D$7&gt;=0,D$8&gt;=0,D$9&gt;-1,D$10&gt;=0,D$11&gt;=0,OR(D$12=0,D$12=1)),ISNUMBER(D142)),D142*((1+D$9)^(1/12)+D$10/12*D$12-D$11/12)+D$8,"n.a.")</x:f>
        <x:v>n.a.</x:v>
      </x:c>
      <x:c r="E143" s="89" t="str">
        <x:f>IF(AND(AND(COUNT(D$7:D$12)=6,D$7&gt;=0,D$8&gt;=0,D$9&gt;-1,D$10&gt;=0,D$11&gt;=0,OR(D$12=0,D$12=1)),COUNT(E142,D142)=2),E142+D142*D$10/12*(1-D$12),"n.a.")</x:f>
        <x:v>n.a.</x:v>
      </x:c>
      <x:c r="F143" s="89" t="str">
        <x:f>IF(AND(COUNT(D$7:D$12)=6,D$7&gt;=0,D$8&gt;=0,D$9&gt;-1,D$10&gt;=0,D$11&gt;=0,OR(D$12=0,D$12=1)),D$7+110*D$8,"n.a.")</x:f>
        <x:v>n.a.</x:v>
      </x:c>
      <x:c r="G143" s="89" t="str">
        <x:f>IF(AND(AND(COUNT(E$7:E$12)=6,E$7&gt;=0,E$8&gt;=0,E$9&gt;-1,E$10&gt;=0,E$11&gt;=0,OR(E$12=0,E$12=1)),ISNUMBER(G142)),G142*((1+E$9)^(1/12)+E$10/12*E$12-E$11/12)+E$8,"n.a.")</x:f>
        <x:v>n.a.</x:v>
      </x:c>
      <x:c r="H143" s="89" t="str">
        <x:f>IF(AND(AND(COUNT(E$7:E$12)=6,E$7&gt;=0,E$8&gt;=0,E$9&gt;-1,E$10&gt;=0,E$11&gt;=0,OR(E$12=0,E$12=1)),COUNT(H142,G142)=2),H142+G142*E$10/12*(1-E$12),"n.a.")</x:f>
        <x:v>n.a.</x:v>
      </x:c>
      <x:c r="I143" s="89" t="str">
        <x:f>IF(AND(COUNT(E$7:E$12)=6,E$7&gt;=0,E$8&gt;=0,E$9&gt;-1,E$10&gt;=0,E$11&gt;=0,OR(E$12=0,E$12=1)),E$7+110*E$8,"n.a.")</x:f>
        <x:v>n.a.</x:v>
      </x:c>
      <x:c r="J143" s="89" t="str">
        <x:f>IF(AND(AND(COUNT(F$7:F$12)=6,F$7&gt;=0,F$8&gt;=0,F$9&gt;-1,F$10&gt;=0,F$11&gt;=0,OR(F$12=0,F$12=1)),ISNUMBER(J142)),J142*((1+F$9)^(1/12)+F$10/12*F$12-F$11/12)+F$8,"n.a.")</x:f>
        <x:v>n.a.</x:v>
      </x:c>
      <x:c r="K143" s="89" t="str">
        <x:f>IF(AND(AND(COUNT(F$7:F$12)=6,F$7&gt;=0,F$8&gt;=0,F$9&gt;-1,F$10&gt;=0,F$11&gt;=0,OR(F$12=0,F$12=1)),COUNT(K142,J142)=2),K142+J142*F$10/12*(1-F$12),"n.a.")</x:f>
        <x:v>n.a.</x:v>
      </x:c>
      <x:c r="L143" s="89" t="str">
        <x:f>IF(AND(COUNT(F$7:F$12)=6,F$7&gt;=0,F$8&gt;=0,F$9&gt;-1,F$10&gt;=0,F$11&gt;=0,OR(F$12=0,F$12=1)),F$7+110*F$8,"n.a.")</x:f>
        <x:v>n.a.</x:v>
      </x:c>
    </x:row>
    <x:row r="144">
      <x:c r="C144" t="n">
        <x:v>111</x:v>
      </x:c>
      <x:c r="D144" s="89" t="str">
        <x:f>IF(AND(AND(COUNT(D$7:D$12)=6,D$7&gt;=0,D$8&gt;=0,D$9&gt;-1,D$10&gt;=0,D$11&gt;=0,OR(D$12=0,D$12=1)),ISNUMBER(D143)),D143*((1+D$9)^(1/12)+D$10/12*D$12-D$11/12)+D$8,"n.a.")</x:f>
        <x:v>n.a.</x:v>
      </x:c>
      <x:c r="E144" s="89" t="str">
        <x:f>IF(AND(AND(COUNT(D$7:D$12)=6,D$7&gt;=0,D$8&gt;=0,D$9&gt;-1,D$10&gt;=0,D$11&gt;=0,OR(D$12=0,D$12=1)),COUNT(E143,D143)=2),E143+D143*D$10/12*(1-D$12),"n.a.")</x:f>
        <x:v>n.a.</x:v>
      </x:c>
      <x:c r="F144" s="89" t="str">
        <x:f>IF(AND(COUNT(D$7:D$12)=6,D$7&gt;=0,D$8&gt;=0,D$9&gt;-1,D$10&gt;=0,D$11&gt;=0,OR(D$12=0,D$12=1)),D$7+111*D$8,"n.a.")</x:f>
        <x:v>n.a.</x:v>
      </x:c>
      <x:c r="G144" s="89" t="str">
        <x:f>IF(AND(AND(COUNT(E$7:E$12)=6,E$7&gt;=0,E$8&gt;=0,E$9&gt;-1,E$10&gt;=0,E$11&gt;=0,OR(E$12=0,E$12=1)),ISNUMBER(G143)),G143*((1+E$9)^(1/12)+E$10/12*E$12-E$11/12)+E$8,"n.a.")</x:f>
        <x:v>n.a.</x:v>
      </x:c>
      <x:c r="H144" s="89" t="str">
        <x:f>IF(AND(AND(COUNT(E$7:E$12)=6,E$7&gt;=0,E$8&gt;=0,E$9&gt;-1,E$10&gt;=0,E$11&gt;=0,OR(E$12=0,E$12=1)),COUNT(H143,G143)=2),H143+G143*E$10/12*(1-E$12),"n.a.")</x:f>
        <x:v>n.a.</x:v>
      </x:c>
      <x:c r="I144" s="89" t="str">
        <x:f>IF(AND(COUNT(E$7:E$12)=6,E$7&gt;=0,E$8&gt;=0,E$9&gt;-1,E$10&gt;=0,E$11&gt;=0,OR(E$12=0,E$12=1)),E$7+111*E$8,"n.a.")</x:f>
        <x:v>n.a.</x:v>
      </x:c>
      <x:c r="J144" s="89" t="str">
        <x:f>IF(AND(AND(COUNT(F$7:F$12)=6,F$7&gt;=0,F$8&gt;=0,F$9&gt;-1,F$10&gt;=0,F$11&gt;=0,OR(F$12=0,F$12=1)),ISNUMBER(J143)),J143*((1+F$9)^(1/12)+F$10/12*F$12-F$11/12)+F$8,"n.a.")</x:f>
        <x:v>n.a.</x:v>
      </x:c>
      <x:c r="K144" s="89" t="str">
        <x:f>IF(AND(AND(COUNT(F$7:F$12)=6,F$7&gt;=0,F$8&gt;=0,F$9&gt;-1,F$10&gt;=0,F$11&gt;=0,OR(F$12=0,F$12=1)),COUNT(K143,J143)=2),K143+J143*F$10/12*(1-F$12),"n.a.")</x:f>
        <x:v>n.a.</x:v>
      </x:c>
      <x:c r="L144" s="89" t="str">
        <x:f>IF(AND(COUNT(F$7:F$12)=6,F$7&gt;=0,F$8&gt;=0,F$9&gt;-1,F$10&gt;=0,F$11&gt;=0,OR(F$12=0,F$12=1)),F$7+111*F$8,"n.a.")</x:f>
        <x:v>n.a.</x:v>
      </x:c>
    </x:row>
    <x:row r="145">
      <x:c r="C145" t="n">
        <x:v>112</x:v>
      </x:c>
      <x:c r="D145" s="89" t="str">
        <x:f>IF(AND(AND(COUNT(D$7:D$12)=6,D$7&gt;=0,D$8&gt;=0,D$9&gt;-1,D$10&gt;=0,D$11&gt;=0,OR(D$12=0,D$12=1)),ISNUMBER(D144)),D144*((1+D$9)^(1/12)+D$10/12*D$12-D$11/12)+D$8,"n.a.")</x:f>
        <x:v>n.a.</x:v>
      </x:c>
      <x:c r="E145" s="89" t="str">
        <x:f>IF(AND(AND(COUNT(D$7:D$12)=6,D$7&gt;=0,D$8&gt;=0,D$9&gt;-1,D$10&gt;=0,D$11&gt;=0,OR(D$12=0,D$12=1)),COUNT(E144,D144)=2),E144+D144*D$10/12*(1-D$12),"n.a.")</x:f>
        <x:v>n.a.</x:v>
      </x:c>
      <x:c r="F145" s="89" t="str">
        <x:f>IF(AND(COUNT(D$7:D$12)=6,D$7&gt;=0,D$8&gt;=0,D$9&gt;-1,D$10&gt;=0,D$11&gt;=0,OR(D$12=0,D$12=1)),D$7+112*D$8,"n.a.")</x:f>
        <x:v>n.a.</x:v>
      </x:c>
      <x:c r="G145" s="89" t="str">
        <x:f>IF(AND(AND(COUNT(E$7:E$12)=6,E$7&gt;=0,E$8&gt;=0,E$9&gt;-1,E$10&gt;=0,E$11&gt;=0,OR(E$12=0,E$12=1)),ISNUMBER(G144)),G144*((1+E$9)^(1/12)+E$10/12*E$12-E$11/12)+E$8,"n.a.")</x:f>
        <x:v>n.a.</x:v>
      </x:c>
      <x:c r="H145" s="89" t="str">
        <x:f>IF(AND(AND(COUNT(E$7:E$12)=6,E$7&gt;=0,E$8&gt;=0,E$9&gt;-1,E$10&gt;=0,E$11&gt;=0,OR(E$12=0,E$12=1)),COUNT(H144,G144)=2),H144+G144*E$10/12*(1-E$12),"n.a.")</x:f>
        <x:v>n.a.</x:v>
      </x:c>
      <x:c r="I145" s="89" t="str">
        <x:f>IF(AND(COUNT(E$7:E$12)=6,E$7&gt;=0,E$8&gt;=0,E$9&gt;-1,E$10&gt;=0,E$11&gt;=0,OR(E$12=0,E$12=1)),E$7+112*E$8,"n.a.")</x:f>
        <x:v>n.a.</x:v>
      </x:c>
      <x:c r="J145" s="89" t="str">
        <x:f>IF(AND(AND(COUNT(F$7:F$12)=6,F$7&gt;=0,F$8&gt;=0,F$9&gt;-1,F$10&gt;=0,F$11&gt;=0,OR(F$12=0,F$12=1)),ISNUMBER(J144)),J144*((1+F$9)^(1/12)+F$10/12*F$12-F$11/12)+F$8,"n.a.")</x:f>
        <x:v>n.a.</x:v>
      </x:c>
      <x:c r="K145" s="89" t="str">
        <x:f>IF(AND(AND(COUNT(F$7:F$12)=6,F$7&gt;=0,F$8&gt;=0,F$9&gt;-1,F$10&gt;=0,F$11&gt;=0,OR(F$12=0,F$12=1)),COUNT(K144,J144)=2),K144+J144*F$10/12*(1-F$12),"n.a.")</x:f>
        <x:v>n.a.</x:v>
      </x:c>
      <x:c r="L145" s="89" t="str">
        <x:f>IF(AND(COUNT(F$7:F$12)=6,F$7&gt;=0,F$8&gt;=0,F$9&gt;-1,F$10&gt;=0,F$11&gt;=0,OR(F$12=0,F$12=1)),F$7+112*F$8,"n.a.")</x:f>
        <x:v>n.a.</x:v>
      </x:c>
    </x:row>
    <x:row r="146">
      <x:c r="C146" t="n">
        <x:v>113</x:v>
      </x:c>
      <x:c r="D146" s="89" t="str">
        <x:f>IF(AND(AND(COUNT(D$7:D$12)=6,D$7&gt;=0,D$8&gt;=0,D$9&gt;-1,D$10&gt;=0,D$11&gt;=0,OR(D$12=0,D$12=1)),ISNUMBER(D145)),D145*((1+D$9)^(1/12)+D$10/12*D$12-D$11/12)+D$8,"n.a.")</x:f>
        <x:v>n.a.</x:v>
      </x:c>
      <x:c r="E146" s="89" t="str">
        <x:f>IF(AND(AND(COUNT(D$7:D$12)=6,D$7&gt;=0,D$8&gt;=0,D$9&gt;-1,D$10&gt;=0,D$11&gt;=0,OR(D$12=0,D$12=1)),COUNT(E145,D145)=2),E145+D145*D$10/12*(1-D$12),"n.a.")</x:f>
        <x:v>n.a.</x:v>
      </x:c>
      <x:c r="F146" s="89" t="str">
        <x:f>IF(AND(COUNT(D$7:D$12)=6,D$7&gt;=0,D$8&gt;=0,D$9&gt;-1,D$10&gt;=0,D$11&gt;=0,OR(D$12=0,D$12=1)),D$7+113*D$8,"n.a.")</x:f>
        <x:v>n.a.</x:v>
      </x:c>
      <x:c r="G146" s="89" t="str">
        <x:f>IF(AND(AND(COUNT(E$7:E$12)=6,E$7&gt;=0,E$8&gt;=0,E$9&gt;-1,E$10&gt;=0,E$11&gt;=0,OR(E$12=0,E$12=1)),ISNUMBER(G145)),G145*((1+E$9)^(1/12)+E$10/12*E$12-E$11/12)+E$8,"n.a.")</x:f>
        <x:v>n.a.</x:v>
      </x:c>
      <x:c r="H146" s="89" t="str">
        <x:f>IF(AND(AND(COUNT(E$7:E$12)=6,E$7&gt;=0,E$8&gt;=0,E$9&gt;-1,E$10&gt;=0,E$11&gt;=0,OR(E$12=0,E$12=1)),COUNT(H145,G145)=2),H145+G145*E$10/12*(1-E$12),"n.a.")</x:f>
        <x:v>n.a.</x:v>
      </x:c>
      <x:c r="I146" s="89" t="str">
        <x:f>IF(AND(COUNT(E$7:E$12)=6,E$7&gt;=0,E$8&gt;=0,E$9&gt;-1,E$10&gt;=0,E$11&gt;=0,OR(E$12=0,E$12=1)),E$7+113*E$8,"n.a.")</x:f>
        <x:v>n.a.</x:v>
      </x:c>
      <x:c r="J146" s="89" t="str">
        <x:f>IF(AND(AND(COUNT(F$7:F$12)=6,F$7&gt;=0,F$8&gt;=0,F$9&gt;-1,F$10&gt;=0,F$11&gt;=0,OR(F$12=0,F$12=1)),ISNUMBER(J145)),J145*((1+F$9)^(1/12)+F$10/12*F$12-F$11/12)+F$8,"n.a.")</x:f>
        <x:v>n.a.</x:v>
      </x:c>
      <x:c r="K146" s="89" t="str">
        <x:f>IF(AND(AND(COUNT(F$7:F$12)=6,F$7&gt;=0,F$8&gt;=0,F$9&gt;-1,F$10&gt;=0,F$11&gt;=0,OR(F$12=0,F$12=1)),COUNT(K145,J145)=2),K145+J145*F$10/12*(1-F$12),"n.a.")</x:f>
        <x:v>n.a.</x:v>
      </x:c>
      <x:c r="L146" s="89" t="str">
        <x:f>IF(AND(COUNT(F$7:F$12)=6,F$7&gt;=0,F$8&gt;=0,F$9&gt;-1,F$10&gt;=0,F$11&gt;=0,OR(F$12=0,F$12=1)),F$7+113*F$8,"n.a.")</x:f>
        <x:v>n.a.</x:v>
      </x:c>
    </x:row>
    <x:row r="147">
      <x:c r="C147" t="n">
        <x:v>114</x:v>
      </x:c>
      <x:c r="D147" s="89" t="str">
        <x:f>IF(AND(AND(COUNT(D$7:D$12)=6,D$7&gt;=0,D$8&gt;=0,D$9&gt;-1,D$10&gt;=0,D$11&gt;=0,OR(D$12=0,D$12=1)),ISNUMBER(D146)),D146*((1+D$9)^(1/12)+D$10/12*D$12-D$11/12)+D$8,"n.a.")</x:f>
        <x:v>n.a.</x:v>
      </x:c>
      <x:c r="E147" s="89" t="str">
        <x:f>IF(AND(AND(COUNT(D$7:D$12)=6,D$7&gt;=0,D$8&gt;=0,D$9&gt;-1,D$10&gt;=0,D$11&gt;=0,OR(D$12=0,D$12=1)),COUNT(E146,D146)=2),E146+D146*D$10/12*(1-D$12),"n.a.")</x:f>
        <x:v>n.a.</x:v>
      </x:c>
      <x:c r="F147" s="89" t="str">
        <x:f>IF(AND(COUNT(D$7:D$12)=6,D$7&gt;=0,D$8&gt;=0,D$9&gt;-1,D$10&gt;=0,D$11&gt;=0,OR(D$12=0,D$12=1)),D$7+114*D$8,"n.a.")</x:f>
        <x:v>n.a.</x:v>
      </x:c>
      <x:c r="G147" s="89" t="str">
        <x:f>IF(AND(AND(COUNT(E$7:E$12)=6,E$7&gt;=0,E$8&gt;=0,E$9&gt;-1,E$10&gt;=0,E$11&gt;=0,OR(E$12=0,E$12=1)),ISNUMBER(G146)),G146*((1+E$9)^(1/12)+E$10/12*E$12-E$11/12)+E$8,"n.a.")</x:f>
        <x:v>n.a.</x:v>
      </x:c>
      <x:c r="H147" s="89" t="str">
        <x:f>IF(AND(AND(COUNT(E$7:E$12)=6,E$7&gt;=0,E$8&gt;=0,E$9&gt;-1,E$10&gt;=0,E$11&gt;=0,OR(E$12=0,E$12=1)),COUNT(H146,G146)=2),H146+G146*E$10/12*(1-E$12),"n.a.")</x:f>
        <x:v>n.a.</x:v>
      </x:c>
      <x:c r="I147" s="89" t="str">
        <x:f>IF(AND(COUNT(E$7:E$12)=6,E$7&gt;=0,E$8&gt;=0,E$9&gt;-1,E$10&gt;=0,E$11&gt;=0,OR(E$12=0,E$12=1)),E$7+114*E$8,"n.a.")</x:f>
        <x:v>n.a.</x:v>
      </x:c>
      <x:c r="J147" s="89" t="str">
        <x:f>IF(AND(AND(COUNT(F$7:F$12)=6,F$7&gt;=0,F$8&gt;=0,F$9&gt;-1,F$10&gt;=0,F$11&gt;=0,OR(F$12=0,F$12=1)),ISNUMBER(J146)),J146*((1+F$9)^(1/12)+F$10/12*F$12-F$11/12)+F$8,"n.a.")</x:f>
        <x:v>n.a.</x:v>
      </x:c>
      <x:c r="K147" s="89" t="str">
        <x:f>IF(AND(AND(COUNT(F$7:F$12)=6,F$7&gt;=0,F$8&gt;=0,F$9&gt;-1,F$10&gt;=0,F$11&gt;=0,OR(F$12=0,F$12=1)),COUNT(K146,J146)=2),K146+J146*F$10/12*(1-F$12),"n.a.")</x:f>
        <x:v>n.a.</x:v>
      </x:c>
      <x:c r="L147" s="89" t="str">
        <x:f>IF(AND(COUNT(F$7:F$12)=6,F$7&gt;=0,F$8&gt;=0,F$9&gt;-1,F$10&gt;=0,F$11&gt;=0,OR(F$12=0,F$12=1)),F$7+114*F$8,"n.a.")</x:f>
        <x:v>n.a.</x:v>
      </x:c>
    </x:row>
    <x:row r="148">
      <x:c r="C148" t="n">
        <x:v>115</x:v>
      </x:c>
      <x:c r="D148" s="89" t="str">
        <x:f>IF(AND(AND(COUNT(D$7:D$12)=6,D$7&gt;=0,D$8&gt;=0,D$9&gt;-1,D$10&gt;=0,D$11&gt;=0,OR(D$12=0,D$12=1)),ISNUMBER(D147)),D147*((1+D$9)^(1/12)+D$10/12*D$12-D$11/12)+D$8,"n.a.")</x:f>
        <x:v>n.a.</x:v>
      </x:c>
      <x:c r="E148" s="89" t="str">
        <x:f>IF(AND(AND(COUNT(D$7:D$12)=6,D$7&gt;=0,D$8&gt;=0,D$9&gt;-1,D$10&gt;=0,D$11&gt;=0,OR(D$12=0,D$12=1)),COUNT(E147,D147)=2),E147+D147*D$10/12*(1-D$12),"n.a.")</x:f>
        <x:v>n.a.</x:v>
      </x:c>
      <x:c r="F148" s="89" t="str">
        <x:f>IF(AND(COUNT(D$7:D$12)=6,D$7&gt;=0,D$8&gt;=0,D$9&gt;-1,D$10&gt;=0,D$11&gt;=0,OR(D$12=0,D$12=1)),D$7+115*D$8,"n.a.")</x:f>
        <x:v>n.a.</x:v>
      </x:c>
      <x:c r="G148" s="89" t="str">
        <x:f>IF(AND(AND(COUNT(E$7:E$12)=6,E$7&gt;=0,E$8&gt;=0,E$9&gt;-1,E$10&gt;=0,E$11&gt;=0,OR(E$12=0,E$12=1)),ISNUMBER(G147)),G147*((1+E$9)^(1/12)+E$10/12*E$12-E$11/12)+E$8,"n.a.")</x:f>
        <x:v>n.a.</x:v>
      </x:c>
      <x:c r="H148" s="89" t="str">
        <x:f>IF(AND(AND(COUNT(E$7:E$12)=6,E$7&gt;=0,E$8&gt;=0,E$9&gt;-1,E$10&gt;=0,E$11&gt;=0,OR(E$12=0,E$12=1)),COUNT(H147,G147)=2),H147+G147*E$10/12*(1-E$12),"n.a.")</x:f>
        <x:v>n.a.</x:v>
      </x:c>
      <x:c r="I148" s="89" t="str">
        <x:f>IF(AND(COUNT(E$7:E$12)=6,E$7&gt;=0,E$8&gt;=0,E$9&gt;-1,E$10&gt;=0,E$11&gt;=0,OR(E$12=0,E$12=1)),E$7+115*E$8,"n.a.")</x:f>
        <x:v>n.a.</x:v>
      </x:c>
      <x:c r="J148" s="89" t="str">
        <x:f>IF(AND(AND(COUNT(F$7:F$12)=6,F$7&gt;=0,F$8&gt;=0,F$9&gt;-1,F$10&gt;=0,F$11&gt;=0,OR(F$12=0,F$12=1)),ISNUMBER(J147)),J147*((1+F$9)^(1/12)+F$10/12*F$12-F$11/12)+F$8,"n.a.")</x:f>
        <x:v>n.a.</x:v>
      </x:c>
      <x:c r="K148" s="89" t="str">
        <x:f>IF(AND(AND(COUNT(F$7:F$12)=6,F$7&gt;=0,F$8&gt;=0,F$9&gt;-1,F$10&gt;=0,F$11&gt;=0,OR(F$12=0,F$12=1)),COUNT(K147,J147)=2),K147+J147*F$10/12*(1-F$12),"n.a.")</x:f>
        <x:v>n.a.</x:v>
      </x:c>
      <x:c r="L148" s="89" t="str">
        <x:f>IF(AND(COUNT(F$7:F$12)=6,F$7&gt;=0,F$8&gt;=0,F$9&gt;-1,F$10&gt;=0,F$11&gt;=0,OR(F$12=0,F$12=1)),F$7+115*F$8,"n.a.")</x:f>
        <x:v>n.a.</x:v>
      </x:c>
    </x:row>
    <x:row r="149">
      <x:c r="C149" t="n">
        <x:v>116</x:v>
      </x:c>
      <x:c r="D149" s="89" t="str">
        <x:f>IF(AND(AND(COUNT(D$7:D$12)=6,D$7&gt;=0,D$8&gt;=0,D$9&gt;-1,D$10&gt;=0,D$11&gt;=0,OR(D$12=0,D$12=1)),ISNUMBER(D148)),D148*((1+D$9)^(1/12)+D$10/12*D$12-D$11/12)+D$8,"n.a.")</x:f>
        <x:v>n.a.</x:v>
      </x:c>
      <x:c r="E149" s="89" t="str">
        <x:f>IF(AND(AND(COUNT(D$7:D$12)=6,D$7&gt;=0,D$8&gt;=0,D$9&gt;-1,D$10&gt;=0,D$11&gt;=0,OR(D$12=0,D$12=1)),COUNT(E148,D148)=2),E148+D148*D$10/12*(1-D$12),"n.a.")</x:f>
        <x:v>n.a.</x:v>
      </x:c>
      <x:c r="F149" s="89" t="str">
        <x:f>IF(AND(COUNT(D$7:D$12)=6,D$7&gt;=0,D$8&gt;=0,D$9&gt;-1,D$10&gt;=0,D$11&gt;=0,OR(D$12=0,D$12=1)),D$7+116*D$8,"n.a.")</x:f>
        <x:v>n.a.</x:v>
      </x:c>
      <x:c r="G149" s="89" t="str">
        <x:f>IF(AND(AND(COUNT(E$7:E$12)=6,E$7&gt;=0,E$8&gt;=0,E$9&gt;-1,E$10&gt;=0,E$11&gt;=0,OR(E$12=0,E$12=1)),ISNUMBER(G148)),G148*((1+E$9)^(1/12)+E$10/12*E$12-E$11/12)+E$8,"n.a.")</x:f>
        <x:v>n.a.</x:v>
      </x:c>
      <x:c r="H149" s="89" t="str">
        <x:f>IF(AND(AND(COUNT(E$7:E$12)=6,E$7&gt;=0,E$8&gt;=0,E$9&gt;-1,E$10&gt;=0,E$11&gt;=0,OR(E$12=0,E$12=1)),COUNT(H148,G148)=2),H148+G148*E$10/12*(1-E$12),"n.a.")</x:f>
        <x:v>n.a.</x:v>
      </x:c>
      <x:c r="I149" s="89" t="str">
        <x:f>IF(AND(COUNT(E$7:E$12)=6,E$7&gt;=0,E$8&gt;=0,E$9&gt;-1,E$10&gt;=0,E$11&gt;=0,OR(E$12=0,E$12=1)),E$7+116*E$8,"n.a.")</x:f>
        <x:v>n.a.</x:v>
      </x:c>
      <x:c r="J149" s="89" t="str">
        <x:f>IF(AND(AND(COUNT(F$7:F$12)=6,F$7&gt;=0,F$8&gt;=0,F$9&gt;-1,F$10&gt;=0,F$11&gt;=0,OR(F$12=0,F$12=1)),ISNUMBER(J148)),J148*((1+F$9)^(1/12)+F$10/12*F$12-F$11/12)+F$8,"n.a.")</x:f>
        <x:v>n.a.</x:v>
      </x:c>
      <x:c r="K149" s="89" t="str">
        <x:f>IF(AND(AND(COUNT(F$7:F$12)=6,F$7&gt;=0,F$8&gt;=0,F$9&gt;-1,F$10&gt;=0,F$11&gt;=0,OR(F$12=0,F$12=1)),COUNT(K148,J148)=2),K148+J148*F$10/12*(1-F$12),"n.a.")</x:f>
        <x:v>n.a.</x:v>
      </x:c>
      <x:c r="L149" s="89" t="str">
        <x:f>IF(AND(COUNT(F$7:F$12)=6,F$7&gt;=0,F$8&gt;=0,F$9&gt;-1,F$10&gt;=0,F$11&gt;=0,OR(F$12=0,F$12=1)),F$7+116*F$8,"n.a.")</x:f>
        <x:v>n.a.</x:v>
      </x:c>
    </x:row>
    <x:row r="150">
      <x:c r="C150" t="n">
        <x:v>117</x:v>
      </x:c>
      <x:c r="D150" s="89" t="str">
        <x:f>IF(AND(AND(COUNT(D$7:D$12)=6,D$7&gt;=0,D$8&gt;=0,D$9&gt;-1,D$10&gt;=0,D$11&gt;=0,OR(D$12=0,D$12=1)),ISNUMBER(D149)),D149*((1+D$9)^(1/12)+D$10/12*D$12-D$11/12)+D$8,"n.a.")</x:f>
        <x:v>n.a.</x:v>
      </x:c>
      <x:c r="E150" s="89" t="str">
        <x:f>IF(AND(AND(COUNT(D$7:D$12)=6,D$7&gt;=0,D$8&gt;=0,D$9&gt;-1,D$10&gt;=0,D$11&gt;=0,OR(D$12=0,D$12=1)),COUNT(E149,D149)=2),E149+D149*D$10/12*(1-D$12),"n.a.")</x:f>
        <x:v>n.a.</x:v>
      </x:c>
      <x:c r="F150" s="89" t="str">
        <x:f>IF(AND(COUNT(D$7:D$12)=6,D$7&gt;=0,D$8&gt;=0,D$9&gt;-1,D$10&gt;=0,D$11&gt;=0,OR(D$12=0,D$12=1)),D$7+117*D$8,"n.a.")</x:f>
        <x:v>n.a.</x:v>
      </x:c>
      <x:c r="G150" s="89" t="str">
        <x:f>IF(AND(AND(COUNT(E$7:E$12)=6,E$7&gt;=0,E$8&gt;=0,E$9&gt;-1,E$10&gt;=0,E$11&gt;=0,OR(E$12=0,E$12=1)),ISNUMBER(G149)),G149*((1+E$9)^(1/12)+E$10/12*E$12-E$11/12)+E$8,"n.a.")</x:f>
        <x:v>n.a.</x:v>
      </x:c>
      <x:c r="H150" s="89" t="str">
        <x:f>IF(AND(AND(COUNT(E$7:E$12)=6,E$7&gt;=0,E$8&gt;=0,E$9&gt;-1,E$10&gt;=0,E$11&gt;=0,OR(E$12=0,E$12=1)),COUNT(H149,G149)=2),H149+G149*E$10/12*(1-E$12),"n.a.")</x:f>
        <x:v>n.a.</x:v>
      </x:c>
      <x:c r="I150" s="89" t="str">
        <x:f>IF(AND(COUNT(E$7:E$12)=6,E$7&gt;=0,E$8&gt;=0,E$9&gt;-1,E$10&gt;=0,E$11&gt;=0,OR(E$12=0,E$12=1)),E$7+117*E$8,"n.a.")</x:f>
        <x:v>n.a.</x:v>
      </x:c>
      <x:c r="J150" s="89" t="str">
        <x:f>IF(AND(AND(COUNT(F$7:F$12)=6,F$7&gt;=0,F$8&gt;=0,F$9&gt;-1,F$10&gt;=0,F$11&gt;=0,OR(F$12=0,F$12=1)),ISNUMBER(J149)),J149*((1+F$9)^(1/12)+F$10/12*F$12-F$11/12)+F$8,"n.a.")</x:f>
        <x:v>n.a.</x:v>
      </x:c>
      <x:c r="K150" s="89" t="str">
        <x:f>IF(AND(AND(COUNT(F$7:F$12)=6,F$7&gt;=0,F$8&gt;=0,F$9&gt;-1,F$10&gt;=0,F$11&gt;=0,OR(F$12=0,F$12=1)),COUNT(K149,J149)=2),K149+J149*F$10/12*(1-F$12),"n.a.")</x:f>
        <x:v>n.a.</x:v>
      </x:c>
      <x:c r="L150" s="89" t="str">
        <x:f>IF(AND(COUNT(F$7:F$12)=6,F$7&gt;=0,F$8&gt;=0,F$9&gt;-1,F$10&gt;=0,F$11&gt;=0,OR(F$12=0,F$12=1)),F$7+117*F$8,"n.a.")</x:f>
        <x:v>n.a.</x:v>
      </x:c>
    </x:row>
    <x:row r="151">
      <x:c r="C151" t="n">
        <x:v>118</x:v>
      </x:c>
      <x:c r="D151" s="89" t="str">
        <x:f>IF(AND(AND(COUNT(D$7:D$12)=6,D$7&gt;=0,D$8&gt;=0,D$9&gt;-1,D$10&gt;=0,D$11&gt;=0,OR(D$12=0,D$12=1)),ISNUMBER(D150)),D150*((1+D$9)^(1/12)+D$10/12*D$12-D$11/12)+D$8,"n.a.")</x:f>
        <x:v>n.a.</x:v>
      </x:c>
      <x:c r="E151" s="89" t="str">
        <x:f>IF(AND(AND(COUNT(D$7:D$12)=6,D$7&gt;=0,D$8&gt;=0,D$9&gt;-1,D$10&gt;=0,D$11&gt;=0,OR(D$12=0,D$12=1)),COUNT(E150,D150)=2),E150+D150*D$10/12*(1-D$12),"n.a.")</x:f>
        <x:v>n.a.</x:v>
      </x:c>
      <x:c r="F151" s="89" t="str">
        <x:f>IF(AND(COUNT(D$7:D$12)=6,D$7&gt;=0,D$8&gt;=0,D$9&gt;-1,D$10&gt;=0,D$11&gt;=0,OR(D$12=0,D$12=1)),D$7+118*D$8,"n.a.")</x:f>
        <x:v>n.a.</x:v>
      </x:c>
      <x:c r="G151" s="89" t="str">
        <x:f>IF(AND(AND(COUNT(E$7:E$12)=6,E$7&gt;=0,E$8&gt;=0,E$9&gt;-1,E$10&gt;=0,E$11&gt;=0,OR(E$12=0,E$12=1)),ISNUMBER(G150)),G150*((1+E$9)^(1/12)+E$10/12*E$12-E$11/12)+E$8,"n.a.")</x:f>
        <x:v>n.a.</x:v>
      </x:c>
      <x:c r="H151" s="89" t="str">
        <x:f>IF(AND(AND(COUNT(E$7:E$12)=6,E$7&gt;=0,E$8&gt;=0,E$9&gt;-1,E$10&gt;=0,E$11&gt;=0,OR(E$12=0,E$12=1)),COUNT(H150,G150)=2),H150+G150*E$10/12*(1-E$12),"n.a.")</x:f>
        <x:v>n.a.</x:v>
      </x:c>
      <x:c r="I151" s="89" t="str">
        <x:f>IF(AND(COUNT(E$7:E$12)=6,E$7&gt;=0,E$8&gt;=0,E$9&gt;-1,E$10&gt;=0,E$11&gt;=0,OR(E$12=0,E$12=1)),E$7+118*E$8,"n.a.")</x:f>
        <x:v>n.a.</x:v>
      </x:c>
      <x:c r="J151" s="89" t="str">
        <x:f>IF(AND(AND(COUNT(F$7:F$12)=6,F$7&gt;=0,F$8&gt;=0,F$9&gt;-1,F$10&gt;=0,F$11&gt;=0,OR(F$12=0,F$12=1)),ISNUMBER(J150)),J150*((1+F$9)^(1/12)+F$10/12*F$12-F$11/12)+F$8,"n.a.")</x:f>
        <x:v>n.a.</x:v>
      </x:c>
      <x:c r="K151" s="89" t="str">
        <x:f>IF(AND(AND(COUNT(F$7:F$12)=6,F$7&gt;=0,F$8&gt;=0,F$9&gt;-1,F$10&gt;=0,F$11&gt;=0,OR(F$12=0,F$12=1)),COUNT(K150,J150)=2),K150+J150*F$10/12*(1-F$12),"n.a.")</x:f>
        <x:v>n.a.</x:v>
      </x:c>
      <x:c r="L151" s="89" t="str">
        <x:f>IF(AND(COUNT(F$7:F$12)=6,F$7&gt;=0,F$8&gt;=0,F$9&gt;-1,F$10&gt;=0,F$11&gt;=0,OR(F$12=0,F$12=1)),F$7+118*F$8,"n.a.")</x:f>
        <x:v>n.a.</x:v>
      </x:c>
    </x:row>
    <x:row r="152">
      <x:c r="C152" t="n">
        <x:v>119</x:v>
      </x:c>
      <x:c r="D152" s="89" t="str">
        <x:f>IF(AND(AND(COUNT(D$7:D$12)=6,D$7&gt;=0,D$8&gt;=0,D$9&gt;-1,D$10&gt;=0,D$11&gt;=0,OR(D$12=0,D$12=1)),ISNUMBER(D151)),D151*((1+D$9)^(1/12)+D$10/12*D$12-D$11/12)+D$8,"n.a.")</x:f>
        <x:v>n.a.</x:v>
      </x:c>
      <x:c r="E152" s="89" t="str">
        <x:f>IF(AND(AND(COUNT(D$7:D$12)=6,D$7&gt;=0,D$8&gt;=0,D$9&gt;-1,D$10&gt;=0,D$11&gt;=0,OR(D$12=0,D$12=1)),COUNT(E151,D151)=2),E151+D151*D$10/12*(1-D$12),"n.a.")</x:f>
        <x:v>n.a.</x:v>
      </x:c>
      <x:c r="F152" s="89" t="str">
        <x:f>IF(AND(COUNT(D$7:D$12)=6,D$7&gt;=0,D$8&gt;=0,D$9&gt;-1,D$10&gt;=0,D$11&gt;=0,OR(D$12=0,D$12=1)),D$7+119*D$8,"n.a.")</x:f>
        <x:v>n.a.</x:v>
      </x:c>
      <x:c r="G152" s="89" t="str">
        <x:f>IF(AND(AND(COUNT(E$7:E$12)=6,E$7&gt;=0,E$8&gt;=0,E$9&gt;-1,E$10&gt;=0,E$11&gt;=0,OR(E$12=0,E$12=1)),ISNUMBER(G151)),G151*((1+E$9)^(1/12)+E$10/12*E$12-E$11/12)+E$8,"n.a.")</x:f>
        <x:v>n.a.</x:v>
      </x:c>
      <x:c r="H152" s="89" t="str">
        <x:f>IF(AND(AND(COUNT(E$7:E$12)=6,E$7&gt;=0,E$8&gt;=0,E$9&gt;-1,E$10&gt;=0,E$11&gt;=0,OR(E$12=0,E$12=1)),COUNT(H151,G151)=2),H151+G151*E$10/12*(1-E$12),"n.a.")</x:f>
        <x:v>n.a.</x:v>
      </x:c>
      <x:c r="I152" s="89" t="str">
        <x:f>IF(AND(COUNT(E$7:E$12)=6,E$7&gt;=0,E$8&gt;=0,E$9&gt;-1,E$10&gt;=0,E$11&gt;=0,OR(E$12=0,E$12=1)),E$7+119*E$8,"n.a.")</x:f>
        <x:v>n.a.</x:v>
      </x:c>
      <x:c r="J152" s="89" t="str">
        <x:f>IF(AND(AND(COUNT(F$7:F$12)=6,F$7&gt;=0,F$8&gt;=0,F$9&gt;-1,F$10&gt;=0,F$11&gt;=0,OR(F$12=0,F$12=1)),ISNUMBER(J151)),J151*((1+F$9)^(1/12)+F$10/12*F$12-F$11/12)+F$8,"n.a.")</x:f>
        <x:v>n.a.</x:v>
      </x:c>
      <x:c r="K152" s="89" t="str">
        <x:f>IF(AND(AND(COUNT(F$7:F$12)=6,F$7&gt;=0,F$8&gt;=0,F$9&gt;-1,F$10&gt;=0,F$11&gt;=0,OR(F$12=0,F$12=1)),COUNT(K151,J151)=2),K151+J151*F$10/12*(1-F$12),"n.a.")</x:f>
        <x:v>n.a.</x:v>
      </x:c>
      <x:c r="L152" s="89" t="str">
        <x:f>IF(AND(COUNT(F$7:F$12)=6,F$7&gt;=0,F$8&gt;=0,F$9&gt;-1,F$10&gt;=0,F$11&gt;=0,OR(F$12=0,F$12=1)),F$7+119*F$8,"n.a.")</x:f>
        <x:v>n.a.</x:v>
      </x:c>
    </x:row>
    <x:row r="153">
      <x:c r="C153" t="n">
        <x:v>120</x:v>
      </x:c>
      <x:c r="D153" s="89" t="str">
        <x:f>IF(AND(AND(COUNT(D$7:D$12)=6,D$7&gt;=0,D$8&gt;=0,D$9&gt;-1,D$10&gt;=0,D$11&gt;=0,OR(D$12=0,D$12=1)),ISNUMBER(D152)),D152*((1+D$9)^(1/12)+D$10/12*D$12-D$11/12)+D$8,"n.a.")</x:f>
        <x:v>n.a.</x:v>
      </x:c>
      <x:c r="E153" s="89" t="str">
        <x:f>IF(AND(AND(COUNT(D$7:D$12)=6,D$7&gt;=0,D$8&gt;=0,D$9&gt;-1,D$10&gt;=0,D$11&gt;=0,OR(D$12=0,D$12=1)),COUNT(E152,D152)=2),E152+D152*D$10/12*(1-D$12),"n.a.")</x:f>
        <x:v>n.a.</x:v>
      </x:c>
      <x:c r="F153" s="89" t="str">
        <x:f>IF(AND(COUNT(D$7:D$12)=6,D$7&gt;=0,D$8&gt;=0,D$9&gt;-1,D$10&gt;=0,D$11&gt;=0,OR(D$12=0,D$12=1)),D$7+120*D$8,"n.a.")</x:f>
        <x:v>n.a.</x:v>
      </x:c>
      <x:c r="G153" s="89" t="str">
        <x:f>IF(AND(AND(COUNT(E$7:E$12)=6,E$7&gt;=0,E$8&gt;=0,E$9&gt;-1,E$10&gt;=0,E$11&gt;=0,OR(E$12=0,E$12=1)),ISNUMBER(G152)),G152*((1+E$9)^(1/12)+E$10/12*E$12-E$11/12)+E$8,"n.a.")</x:f>
        <x:v>n.a.</x:v>
      </x:c>
      <x:c r="H153" s="89" t="str">
        <x:f>IF(AND(AND(COUNT(E$7:E$12)=6,E$7&gt;=0,E$8&gt;=0,E$9&gt;-1,E$10&gt;=0,E$11&gt;=0,OR(E$12=0,E$12=1)),COUNT(H152,G152)=2),H152+G152*E$10/12*(1-E$12),"n.a.")</x:f>
        <x:v>n.a.</x:v>
      </x:c>
      <x:c r="I153" s="89" t="str">
        <x:f>IF(AND(COUNT(E$7:E$12)=6,E$7&gt;=0,E$8&gt;=0,E$9&gt;-1,E$10&gt;=0,E$11&gt;=0,OR(E$12=0,E$12=1)),E$7+120*E$8,"n.a.")</x:f>
        <x:v>n.a.</x:v>
      </x:c>
      <x:c r="J153" s="89" t="str">
        <x:f>IF(AND(AND(COUNT(F$7:F$12)=6,F$7&gt;=0,F$8&gt;=0,F$9&gt;-1,F$10&gt;=0,F$11&gt;=0,OR(F$12=0,F$12=1)),ISNUMBER(J152)),J152*((1+F$9)^(1/12)+F$10/12*F$12-F$11/12)+F$8,"n.a.")</x:f>
        <x:v>n.a.</x:v>
      </x:c>
      <x:c r="K153" s="89" t="str">
        <x:f>IF(AND(AND(COUNT(F$7:F$12)=6,F$7&gt;=0,F$8&gt;=0,F$9&gt;-1,F$10&gt;=0,F$11&gt;=0,OR(F$12=0,F$12=1)),COUNT(K152,J152)=2),K152+J152*F$10/12*(1-F$12),"n.a.")</x:f>
        <x:v>n.a.</x:v>
      </x:c>
      <x:c r="L153" s="89" t="str">
        <x:f>IF(AND(COUNT(F$7:F$12)=6,F$7&gt;=0,F$8&gt;=0,F$9&gt;-1,F$10&gt;=0,F$11&gt;=0,OR(F$12=0,F$12=1)),F$7+120*F$8,"n.a.")</x:f>
        <x:v>n.a.</x:v>
      </x:c>
    </x:row>
    <x:row r="157">
      <x:c r="C157" s="91" t="str">
        <x:v>Ιστορικές αποδόσεις τιμής</x:v>
      </x:c>
      <x:c r="D157" s="91" t="str">
        <x:v>Κεφάλαιο 1</x:v>
      </x:c>
      <x:c r="E157" s="91" t="str">
        <x:v>Κεφάλαιο 2</x:v>
      </x:c>
      <x:c r="F157" s="91" t="str">
        <x:v>Κεφάλαιο 3</x:v>
      </x:c>
      <x:c r="G157" s="91" t="str">
        <x:v>Έτη</x:v>
      </x:c>
    </x:row>
    <x:row r="158">
      <x:c r="C158" t="str">
        <x:v>Σωρευτική απόδοση τιμής 1 ετών</x:v>
      </x:c>
      <x:c r="D158" s="92"/>
      <x:c r="E158" s="92"/>
      <x:c r="F158" s="92"/>
      <x:c r="G158" t="n">
        <x:v>1</x:v>
      </x:c>
    </x:row>
    <x:row r="159">
      <x:c r="C159" t="str">
        <x:v>Σωρευτική απόδοση τιμής 2 ετών</x:v>
      </x:c>
      <x:c r="D159" s="92"/>
      <x:c r="E159" s="92"/>
      <x:c r="F159" s="92"/>
      <x:c r="G159" t="n">
        <x:v>2</x:v>
      </x:c>
    </x:row>
    <x:row r="160">
      <x:c r="C160" t="str">
        <x:v>Σωρευτική απόδοση τιμής 3 ετών</x:v>
      </x:c>
      <x:c r="D160" s="92"/>
      <x:c r="E160" s="92"/>
      <x:c r="F160" s="92"/>
      <x:c r="G160" t="n">
        <x:v>3</x:v>
      </x:c>
    </x:row>
    <x:row r="161">
      <x:c r="C161" t="str">
        <x:v>Σωρευτική απόδοση τιμής 5 ετών</x:v>
      </x:c>
      <x:c r="D161" s="92"/>
      <x:c r="E161" s="92"/>
      <x:c r="F161" s="92"/>
      <x:c r="G161" t="n">
        <x:v>5</x:v>
      </x:c>
    </x:row>
    <x:row r="162">
      <x:c r="C162" t="str">
        <x:v>Σωρευτική απόδοση τιμής 10 ετών</x:v>
      </x:c>
      <x:c r="D162" s="92"/>
      <x:c r="E162" s="92"/>
      <x:c r="F162" s="92"/>
      <x:c r="G162" t="n">
        <x:v>10</x:v>
      </x:c>
    </x:row>
    <x:row r="165">
      <x:c r="C165" t="str">
        <x:v>Ετησιοποιημένη απόδοση τιμής 1 ετών</x:v>
      </x:c>
      <x:c r="D165" s="93" t="str">
        <x:f>IF(ISNUMBER(D158),IF(D158&gt;-1,(1+D158)^(1/$G158)-1,"n.a."),"n.a.")</x:f>
        <x:v>n.a.</x:v>
      </x:c>
      <x:c r="E165" s="93" t="str">
        <x:f>IF(ISNUMBER(E158),IF(E158&gt;-1,(1+E158)^(1/$G158)-1,"n.a."),"n.a.")</x:f>
        <x:v>n.a.</x:v>
      </x:c>
      <x:c r="F165" s="93" t="str">
        <x:f>IF(ISNUMBER(F158),IF(F158&gt;-1,(1+F158)^(1/$G158)-1,"n.a."),"n.a.")</x:f>
        <x:v>n.a.</x:v>
      </x:c>
    </x:row>
    <x:row r="166">
      <x:c r="C166" t="str">
        <x:v>Ετησιοποιημένη απόδοση τιμής 2 ετών</x:v>
      </x:c>
      <x:c r="D166" s="93" t="str">
        <x:f>IF(ISNUMBER(D159),IF(D159&gt;-1,(1+D159)^(1/$G159)-1,"n.a."),"n.a.")</x:f>
        <x:v>n.a.</x:v>
      </x:c>
      <x:c r="E166" s="93" t="str">
        <x:f>IF(ISNUMBER(E159),IF(E159&gt;-1,(1+E159)^(1/$G159)-1,"n.a."),"n.a.")</x:f>
        <x:v>n.a.</x:v>
      </x:c>
      <x:c r="F166" s="93" t="str">
        <x:f>IF(ISNUMBER(F159),IF(F159&gt;-1,(1+F159)^(1/$G159)-1,"n.a."),"n.a.")</x:f>
        <x:v>n.a.</x:v>
      </x:c>
    </x:row>
    <x:row r="167">
      <x:c r="C167" t="str">
        <x:v>Ετησιοποιημένη απόδοση τιμής 3 ετών</x:v>
      </x:c>
      <x:c r="D167" s="93" t="str">
        <x:f>IF(ISNUMBER(D160),IF(D160&gt;-1,(1+D160)^(1/$G160)-1,"n.a."),"n.a.")</x:f>
        <x:v>n.a.</x:v>
      </x:c>
      <x:c r="E167" s="93" t="str">
        <x:f>IF(ISNUMBER(E160),IF(E160&gt;-1,(1+E160)^(1/$G160)-1,"n.a."),"n.a.")</x:f>
        <x:v>n.a.</x:v>
      </x:c>
      <x:c r="F167" s="93" t="str">
        <x:f>IF(ISNUMBER(F160),IF(F160&gt;-1,(1+F160)^(1/$G160)-1,"n.a."),"n.a.")</x:f>
        <x:v>n.a.</x:v>
      </x:c>
    </x:row>
    <x:row r="168">
      <x:c r="C168" t="str">
        <x:v>Ετησιοποιημένη απόδοση τιμής 5 ετών</x:v>
      </x:c>
      <x:c r="D168" s="93" t="str">
        <x:f>IF(ISNUMBER(D161),IF(D161&gt;-1,(1+D161)^(1/$G161)-1,"n.a."),"n.a.")</x:f>
        <x:v>n.a.</x:v>
      </x:c>
      <x:c r="E168" s="93" t="str">
        <x:f>IF(ISNUMBER(E161),IF(E161&gt;-1,(1+E161)^(1/$G161)-1,"n.a."),"n.a.")</x:f>
        <x:v>n.a.</x:v>
      </x:c>
      <x:c r="F168" s="93" t="str">
        <x:f>IF(ISNUMBER(F161),IF(F161&gt;-1,(1+F161)^(1/$G161)-1,"n.a."),"n.a.")</x:f>
        <x:v>n.a.</x:v>
      </x:c>
    </x:row>
    <x:row r="169">
      <x:c r="C169" t="str">
        <x:v>Ετησιοποιημένη απόδοση τιμής 10 ετών</x:v>
      </x:c>
      <x:c r="D169" s="93" t="str">
        <x:f>IF(ISNUMBER(D162),IF(D162&gt;-1,(1+D162)^(1/$G162)-1,"n.a."),"n.a.")</x:f>
        <x:v>n.a.</x:v>
      </x:c>
      <x:c r="E169" s="93" t="str">
        <x:f>IF(ISNUMBER(E162),IF(E162&gt;-1,(1+E162)^(1/$G162)-1,"n.a."),"n.a.")</x:f>
        <x:v>n.a.</x:v>
      </x:c>
      <x:c r="F169" s="93" t="str">
        <x:f>IF(ISNUMBER(F162),IF(F162&gt;-1,(1+F162)^(1/$G162)-1,"n.a."),"n.a.")</x:f>
        <x:v>n.a.</x:v>
      </x:c>
    </x:row>
    <x:row r="172">
      <x:c r="C172" t="str">
        <x:v>Ηλικία μετά από 10 έτη</x:v>
      </x:c>
      <x:c r="D172" t="str">
        <x:f>IF(ISNUMBER(D13),D13+10,"n.a.")</x:f>
        <x:v>n.a.</x:v>
      </x:c>
      <x:c r="E172" t="str">
        <x:f>IF(ISNUMBER(E13),E13+10,"n.a.")</x:f>
        <x:v>n.a.</x:v>
      </x:c>
      <x:c r="F172" t="str">
        <x:f>IF(ISNUMBER(F13),F13+10,"n.a.")</x:f>
        <x:v>n.a.</x:v>
      </x:c>
    </x:row>
  </x:sheetData>
  <x:dataValidations count="1">
    <x:dataValidation type="list" sqref="D12:F12">
      <x:formula1>"0,1"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Κλαδικοί Δείκτες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Προαιρετικά λειτουργικά μεγέθη από τα κλαδικά αρχεία σας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/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Προαιρετικά στοιχεία ετήσιων εκθέσεων</x:v>
      </x:c>
      <x:c r="D7" s="34"/>
      <x:c r="E7" s="34"/>
      <x:c r="F7" s="34"/>
      <x:c r="G7" s="34"/>
      <x:c r="H7" s="34"/>
      <x:c r="I7" s="34"/>
      <x:c r="J7" s="2"/>
      <x:c r="K7" s="2"/>
      <x:c r="L7" s="2"/>
      <x:c r="M7" s="2"/>
    </x:row>
    <x:row r="8" ht="23" customHeight="1">
      <x:c r="A8" s="1"/>
      <x:c r="B8" s="1"/>
      <x:c r="C8" s="2" t="str">
        <x:v>Χωρητικότητα στόλου σε τόνους νεκρού βάρους (DWT)</x:v>
      </x:c>
      <x:c r="D8" s="48"/>
      <x:c r="E8" s="48"/>
      <x:c r="F8" s="48"/>
      <x:c r="G8" s="48"/>
      <x:c r="H8" s="48"/>
      <x:c r="I8" s="48"/>
      <x:c r="J8" s="2"/>
      <x:c r="K8" s="2"/>
      <x:c r="L8" s="2"/>
      <x:c r="M8" s="2"/>
    </x:row>
    <x:row r="9" ht="23" customHeight="1">
      <x:c r="A9" s="1"/>
      <x:c r="B9" s="1"/>
      <x:c r="C9" s="2" t="str">
        <x:v>Ετήσια παραγωγή υγρών (εκατομμύρια βαρέλια)</x:v>
      </x:c>
      <x:c r="D9" s="48"/>
      <x:c r="E9" s="48"/>
      <x:c r="F9" s="48"/>
      <x:c r="G9" s="48"/>
      <x:c r="H9" s="48"/>
      <x:c r="I9" s="48"/>
      <x:c r="J9" s="2"/>
      <x:c r="K9" s="2"/>
      <x:c r="L9" s="2"/>
      <x:c r="M9" s="2"/>
    </x:row>
    <x:row r="10" ht="23" customHeight="1">
      <x:c r="A10" s="1"/>
      <x:c r="B10" s="1"/>
      <x:c r="C10" s="2" t="str">
        <x:v>Ετήσια παραγωγή αερίου (δισεκατομμύρια κυβικά πόδια)</x:v>
      </x:c>
      <x:c r="D10" s="48"/>
      <x:c r="E10" s="48"/>
      <x:c r="F10" s="48"/>
      <x:c r="G10" s="48"/>
      <x:c r="H10" s="48"/>
      <x:c r="I10" s="48"/>
      <x:c r="J10" s="2"/>
      <x:c r="K10" s="2"/>
      <x:c r="L10" s="2"/>
      <x:c r="M10" s="2"/>
    </x:row>
    <x:row r="11" ht="23" customHeight="1">
      <x:c r="A11" s="1"/>
      <x:c r="B11" s="1"/>
      <x:c r="C11" s="2" t="str">
        <x:v>Ετήσια παραγωγή (εκατομμύρια ισοδύναμα βαρέλια)</x:v>
      </x:c>
      <x:c r="D11" s="48"/>
      <x:c r="E11" s="48"/>
      <x:c r="F11" s="48"/>
      <x:c r="G11" s="48"/>
      <x:c r="H11" s="48"/>
      <x:c r="I11" s="48"/>
      <x:c r="J11" s="2"/>
      <x:c r="K11" s="2"/>
      <x:c r="L11" s="2"/>
      <x:c r="M11" s="2"/>
    </x:row>
    <x:row r="12" ht="23" customHeight="1">
      <x:c r="A12" s="1"/>
      <x:c r="B12" s="1"/>
      <x:c r="C12" s="2" t="str">
        <x:v>Εγκατεστημένη ισχύς παραγωγής (MW)</x:v>
      </x:c>
      <x:c r="D12" s="48"/>
      <x:c r="E12" s="48"/>
      <x:c r="F12" s="48"/>
      <x:c r="G12" s="48"/>
      <x:c r="H12" s="48"/>
      <x:c r="I12" s="48"/>
      <x:c r="J12" s="2"/>
      <x:c r="K12" s="2"/>
      <x:c r="L12" s="2"/>
      <x:c r="M12" s="2"/>
    </x:row>
    <x:row r="13" ht="23" customHeight="1">
      <x:c r="A13" s="1"/>
      <x:c r="B13" s="1"/>
      <x:c r="C13" s="2" t="str">
        <x:v>Ετήσια παραγωγή ηλεκτρισμού (GWh)</x:v>
      </x:c>
      <x:c r="D13" s="48"/>
      <x:c r="E13" s="48"/>
      <x:c r="F13" s="48"/>
      <x:c r="G13" s="48"/>
      <x:c r="H13" s="48"/>
      <x:c r="I13" s="48"/>
      <x:c r="J13" s="2"/>
      <x:c r="K13" s="2"/>
      <x:c r="L13" s="2"/>
      <x:c r="M13" s="2"/>
    </x:row>
    <x:row r="14" ht="23" customHeight="1">
      <x:c r="A14" s="1"/>
      <x:c r="B14" s="1"/>
      <x:c r="C14" s="2" t="str">
        <x:v>Ανεκτέλεστο παραγγελιών στη νομισματική μονάδα</x:v>
      </x:c>
      <x:c r="D14" s="48"/>
      <x:c r="E14" s="48"/>
      <x:c r="F14" s="48"/>
      <x:c r="G14" s="48"/>
      <x:c r="H14" s="48"/>
      <x:c r="I14" s="48"/>
      <x:c r="J14" s="2"/>
      <x:c r="K14" s="2"/>
      <x:c r="L14" s="2"/>
      <x:c r="M14" s="2"/>
    </x:row>
    <x:row r="15" ht="23" customHeight="1">
      <x:c r="A15" s="1"/>
      <x:c r="B15" s="1"/>
      <x:c r="C15" s="2" t="str">
        <x:v>Νέες παραγγελίες στη νομισματική μονάδα</x:v>
      </x:c>
      <x:c r="D15" s="48"/>
      <x:c r="E15" s="48"/>
      <x:c r="F15" s="48"/>
      <x:c r="G15" s="48"/>
      <x:c r="H15" s="48"/>
      <x:c r="I15" s="48"/>
      <x:c r="J15" s="2"/>
      <x:c r="K15" s="2"/>
      <x:c r="L15" s="2"/>
      <x:c r="M15" s="2"/>
    </x:row>
    <x:row r="16" ht="25" customHeight="1">
      <x:c r="A16" s="1"/>
      <x:c r="B16" s="1"/>
      <x:c r="C16" s="34" t="str">
        <x:v>Κλαδικοί υπολογισμοί</x:v>
      </x:c>
      <x:c r="D16" s="34"/>
      <x:c r="E16" s="34"/>
      <x:c r="F16" s="34"/>
      <x:c r="G16" s="34"/>
      <x:c r="H16" s="34"/>
      <x:c r="I16" s="34"/>
      <x:c r="J16" s="2"/>
      <x:c r="K16" s="2"/>
      <x:c r="L16" s="2"/>
      <x:c r="M16" s="2"/>
    </x:row>
    <x:row r="17" ht="23" customHeight="1">
      <x:c r="A17" s="1"/>
      <x:c r="B17" s="1"/>
      <x:c r="C17" s="2" t="str">
        <x:v>Πωλήσεις ανά DWT σε νομισματικές μονάδες</x:v>
      </x:c>
      <x:c r="D17" s="30"/>
      <x:c r="E17" s="46" t="str">
        <x:f>IF(COUNT('Αποτελέσματα Χρήσης'!E8,'Ρυθμίσεις'!$E$10,'Κλαδικοί Δείκτες'!E8)&lt;3,"n.a.",IF(('Κλαδικοί Δείκτες'!E8)&gt;0,('Αποτελέσματα Χρήσης'!E8*'Ρυθμίσεις'!$E$10)/('Κλαδικοί Δείκτες'!E8),"n.a."))</x:f>
        <x:v>n.a.</x:v>
      </x:c>
      <x:c r="F17" s="46" t="str">
        <x:f>IF(COUNT('Αποτελέσματα Χρήσης'!F8,'Ρυθμίσεις'!$E$10,'Κλαδικοί Δείκτες'!F8)&lt;3,"n.a.",IF(('Κλαδικοί Δείκτες'!F8)&gt;0,('Αποτελέσματα Χρήσης'!F8*'Ρυθμίσεις'!$E$10)/('Κλαδικοί Δείκτες'!F8),"n.a."))</x:f>
        <x:v>n.a.</x:v>
      </x:c>
      <x:c r="G17" s="46" t="str">
        <x:f>IF(COUNT('Αποτελέσματα Χρήσης'!G8,'Ρυθμίσεις'!$E$10,'Κλαδικοί Δείκτες'!G8)&lt;3,"n.a.",IF(('Κλαδικοί Δείκτες'!G8)&gt;0,('Αποτελέσματα Χρήσης'!G8*'Ρυθμίσεις'!$E$10)/('Κλαδικοί Δείκτες'!G8),"n.a."))</x:f>
        <x:v>n.a.</x:v>
      </x:c>
      <x:c r="H17" s="46" t="str">
        <x:f>IF(COUNT('Αποτελέσματα Χρήσης'!H8,'Ρυθμίσεις'!$E$10,'Κλαδικοί Δείκτες'!H8)&lt;3,"n.a.",IF(('Κλαδικοί Δείκτες'!H8)&gt;0,('Αποτελέσματα Χρήσης'!H8*'Ρυθμίσεις'!$E$10)/('Κλαδικοί Δείκτες'!H8),"n.a."))</x:f>
        <x:v>n.a.</x:v>
      </x:c>
      <x:c r="I17" s="46" t="str">
        <x:f>IF(COUNT('Αποτελέσματα Χρήσης'!I8,'Ρυθμίσεις'!$E$10,'Κλαδικοί Δείκτες'!I8)&lt;3,"n.a.",IF(('Κλαδικοί Δείκτες'!I8)&gt;0,('Αποτελέσματα Χρήσης'!I8*'Ρυθμίσεις'!$E$10)/('Κλαδικοί Δείκτες'!I8),"n.a."))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Πωλήσεις ανά ισοδύναμο βαρέλι σε νομισματικές μονάδες</x:v>
      </x:c>
      <x:c r="D18" s="30"/>
      <x:c r="E18" s="45" t="str">
        <x:f>IF(COUNT('Αποτελέσματα Χρήσης'!E8,'Ρυθμίσεις'!$E$10,'Κλαδικοί Δείκτες'!E11)&lt;3,"n.a.",IF(('Κλαδικοί Δείκτες'!E11*1000000)&gt;0,('Αποτελέσματα Χρήσης'!E8*'Ρυθμίσεις'!$E$10)/('Κλαδικοί Δείκτες'!E11*1000000),"n.a."))</x:f>
        <x:v>n.a.</x:v>
      </x:c>
      <x:c r="F18" s="45" t="str">
        <x:f>IF(COUNT('Αποτελέσματα Χρήσης'!F8,'Ρυθμίσεις'!$E$10,'Κλαδικοί Δείκτες'!F11)&lt;3,"n.a.",IF(('Κλαδικοί Δείκτες'!F11*1000000)&gt;0,('Αποτελέσματα Χρήσης'!F8*'Ρυθμίσεις'!$E$10)/('Κλαδικοί Δείκτες'!F11*1000000),"n.a."))</x:f>
        <x:v>n.a.</x:v>
      </x:c>
      <x:c r="G18" s="45" t="str">
        <x:f>IF(COUNT('Αποτελέσματα Χρήσης'!G8,'Ρυθμίσεις'!$E$10,'Κλαδικοί Δείκτες'!G11)&lt;3,"n.a.",IF(('Κλαδικοί Δείκτες'!G11*1000000)&gt;0,('Αποτελέσματα Χρήσης'!G8*'Ρυθμίσεις'!$E$10)/('Κλαδικοί Δείκτες'!G11*1000000),"n.a."))</x:f>
        <x:v>n.a.</x:v>
      </x:c>
      <x:c r="H18" s="45" t="str">
        <x:f>IF(COUNT('Αποτελέσματα Χρήσης'!H8,'Ρυθμίσεις'!$E$10,'Κλαδικοί Δείκτες'!H11)&lt;3,"n.a.",IF(('Κλαδικοί Δείκτες'!H11*1000000)&gt;0,('Αποτελέσματα Χρήσης'!H8*'Ρυθμίσεις'!$E$10)/('Κλαδικοί Δείκτες'!H11*1000000),"n.a."))</x:f>
        <x:v>n.a.</x:v>
      </x:c>
      <x:c r="I18" s="45" t="str">
        <x:f>IF(COUNT('Αποτελέσματα Χρήσης'!I8,'Ρυθμίσεις'!$E$10,'Κλαδικοί Δείκτες'!I11)&lt;3,"n.a.",IF(('Κλαδικοί Δείκτες'!I11*1000000)&gt;0,('Αποτελέσματα Χρήσης'!I8*'Ρυθμίσεις'!$E$10)/('Κλαδικοί Δείκτες'!I11*1000000),"n.a."))</x:f>
        <x:v>n.a.</x:v>
      </x:c>
      <x:c r="J18" s="2"/>
      <x:c r="K18" s="2" t="str">
        <x:v>Πωλήσεις ομίλου / παραγωγή, επηρεάζεται από διύλιση και εμπορία.</x:v>
      </x:c>
      <x:c r="L18" s="2"/>
      <x:c r="M18" s="2"/>
    </x:row>
    <x:row r="19" ht="23" customHeight="1">
      <x:c r="A19" s="1"/>
      <x:c r="B19" s="1"/>
      <x:c r="C19" s="20" t="str">
        <x:v>Ανεκτέλεστο προς πωλήσεις</x:v>
      </x:c>
      <x:c r="D19" s="26"/>
      <x:c r="E19" s="41" t="str">
        <x:f>IF(COUNT('Κλαδικοί Δείκτες'!E14,'Αποτελέσματα Χρήσης'!E8)&lt;2,"n.a.",IF(('Αποτελέσματα Χρήσης'!E8)&gt;0,('Κλαδικοί Δείκτες'!E14)/('Αποτελέσματα Χρήσης'!E8),"n.a."))</x:f>
        <x:v>n.a.</x:v>
      </x:c>
      <x:c r="F19" s="41" t="str">
        <x:f>IF(COUNT('Κλαδικοί Δείκτες'!F14,'Αποτελέσματα Χρήσης'!F8)&lt;2,"n.a.",IF(('Αποτελέσματα Χρήσης'!F8)&gt;0,('Κλαδικοί Δείκτες'!F14)/('Αποτελέσματα Χρήσης'!F8),"n.a."))</x:f>
        <x:v>n.a.</x:v>
      </x:c>
      <x:c r="G19" s="41" t="str">
        <x:f>IF(COUNT('Κλαδικοί Δείκτες'!G14,'Αποτελέσματα Χρήσης'!G8)&lt;2,"n.a.",IF(('Αποτελέσματα Χρήσης'!G8)&gt;0,('Κλαδικοί Δείκτες'!G14)/('Αποτελέσματα Χρήσης'!G8),"n.a."))</x:f>
        <x:v>n.a.</x:v>
      </x:c>
      <x:c r="H19" s="41" t="str">
        <x:f>IF(COUNT('Κλαδικοί Δείκτες'!H14,'Αποτελέσματα Χρήσης'!H8)&lt;2,"n.a.",IF(('Αποτελέσματα Χρήσης'!H8)&gt;0,('Κλαδικοί Δείκτες'!H14)/('Αποτελέσματα Χρήσης'!H8),"n.a."))</x:f>
        <x:v>n.a.</x:v>
      </x:c>
      <x:c r="I19" s="41" t="str">
        <x:f>IF(COUNT('Κλαδικοί Δείκτες'!I14,'Αποτελέσματα Χρήσης'!I8)&lt;2,"n.a.",IF(('Αποτελέσματα Χρήσης'!I8)&gt;0,('Κλαδικοί Δείκτες'!I14)/('Αποτελέσματα Χρήσης'!I8),"n.a."))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0" t="str">
        <x:v>Παραγγελίες προς πωλήσεις</x:v>
      </x:c>
      <x:c r="D20" s="26"/>
      <x:c r="E20" s="42" t="str">
        <x:f>IF(COUNT('Κλαδικοί Δείκτες'!E15,'Αποτελέσματα Χρήσης'!E8)&lt;2,"n.a.",IF(('Αποτελέσματα Χρήσης'!E8)&gt;0,('Κλαδικοί Δείκτες'!E15)/('Αποτελέσματα Χρήσης'!E8),"n.a."))</x:f>
        <x:v>n.a.</x:v>
      </x:c>
      <x:c r="F20" s="42" t="str">
        <x:f>IF(COUNT('Κλαδικοί Δείκτες'!F15,'Αποτελέσματα Χρήσης'!F8)&lt;2,"n.a.",IF(('Αποτελέσματα Χρήσης'!F8)&gt;0,('Κλαδικοί Δείκτες'!F15)/('Αποτελέσματα Χρήσης'!F8),"n.a."))</x:f>
        <x:v>n.a.</x:v>
      </x:c>
      <x:c r="G20" s="42" t="str">
        <x:f>IF(COUNT('Κλαδικοί Δείκτες'!G15,'Αποτελέσματα Χρήσης'!G8)&lt;2,"n.a.",IF(('Αποτελέσματα Χρήσης'!G8)&gt;0,('Κλαδικοί Δείκτες'!G15)/('Αποτελέσματα Χρήσης'!G8),"n.a."))</x:f>
        <x:v>n.a.</x:v>
      </x:c>
      <x:c r="H20" s="42" t="str">
        <x:f>IF(COUNT('Κλαδικοί Δείκτες'!H15,'Αποτελέσματα Χρήσης'!H8)&lt;2,"n.a.",IF(('Αποτελέσματα Χρήσης'!H8)&gt;0,('Κλαδικοί Δείκτες'!H15)/('Αποτελέσματα Χρήσης'!H8),"n.a."))</x:f>
        <x:v>n.a.</x:v>
      </x:c>
      <x:c r="I20" s="42" t="str">
        <x:f>IF(COUNT('Κλαδικοί Δείκτες'!I15,'Αποτελέσματα Χρήσης'!I8)&lt;2,"n.a.",IF(('Αποτελέσματα Χρήσης'!I8)&gt;0,('Κλαδικοί Δείκτες'!I15)/('Αποτελέσματα Χρήσης'!I8),"n.a."))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0" t="str">
        <x:v>Ένταση έρευνας και ανάπτυξης</x:v>
      </x:c>
      <x:c r="D21" s="21"/>
      <x:c r="E21" s="37" t="str">
        <x:f>IF(COUNT('Αποτελέσματα Χρήσης'!E13,'Αποτελέσματα Χρήσης'!E8)&lt;2,"n.a.",IF(('Αποτελέσματα Χρήσης'!E8)&gt;0,('Αποτελέσματα Χρήσης'!E13)/('Αποτελέσματα Χρήσης'!E8),"n.a."))</x:f>
        <x:v>n.a.</x:v>
      </x:c>
      <x:c r="F21" s="37" t="str">
        <x:f>IF(COUNT('Αποτελέσματα Χρήσης'!F13,'Αποτελέσματα Χρήσης'!F8)&lt;2,"n.a.",IF(('Αποτελέσματα Χρήσης'!F8)&gt;0,('Αποτελέσματα Χρήσης'!F13)/('Αποτελέσματα Χρήσης'!F8),"n.a."))</x:f>
        <x:v>n.a.</x:v>
      </x:c>
      <x:c r="G21" s="37" t="str">
        <x:f>IF(COUNT('Αποτελέσματα Χρήσης'!G13,'Αποτελέσματα Χρήσης'!G8)&lt;2,"n.a.",IF(('Αποτελέσματα Χρήσης'!G8)&gt;0,('Αποτελέσματα Χρήσης'!G13)/('Αποτελέσματα Χρήσης'!G8),"n.a."))</x:f>
        <x:v>n.a.</x:v>
      </x:c>
      <x:c r="H21" s="37" t="str">
        <x:f>IF(COUNT('Αποτελέσματα Χρήσης'!H13,'Αποτελέσματα Χρήσης'!H8)&lt;2,"n.a.",IF(('Αποτελέσματα Χρήσης'!H8)&gt;0,('Αποτελέσματα Χρήσης'!H13)/('Αποτελέσματα Χρήσης'!H8),"n.a."))</x:f>
        <x:v>n.a.</x:v>
      </x:c>
      <x:c r="I21" s="37" t="str">
        <x:f>IF(COUNT('Αποτελέσματα Χρήσης'!I13,'Αποτελέσματα Χρήσης'!I8)&lt;2,"n.a.",IF(('Αποτελέσματα Χρήσης'!I8)&gt;0,('Αποτελέσματα Χρήσης'!I13)/('Αποτελέσματα Χρήσης'!I8),"n.a."))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BCA88E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Δεδομένα &gt;&gt;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Στοιχεία ετήσιων εκθέσεων και έλεγχος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 t="str">
        <x:v>Καταχωρίστε τις οικονομικές καταστάσεις των ετήσιων εκθέσεων στις δεξιές καρτέλες.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Ισολογισμός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Καταχωρίστε δημοσιευμένα υπόλοιπα στη μονάδα των Ρυθμίσεων.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Μία πηγή ανά έτος: συμπληρώστε τα πεδία έκθεσης κάτω από την κατάσταση.</x:v>
      </x:c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Αντιστοίχιση / γραμμή έκθεσης</x:v>
      </x:c>
      <x:c r="L5" s="2" t="str">
        <x:v>Έκθεση / σελίδα</x:v>
      </x:c>
      <x:c r="M5" s="2" t="str">
        <x:v>URL / σημείωση πηγής</x:v>
      </x:c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Κυκλοφορούν ενεργητικό</x:v>
      </x:c>
      <x:c r="D7" s="34"/>
      <x:c r="E7" s="34"/>
      <x:c r="F7" s="34"/>
      <x:c r="G7" s="34"/>
      <x:c r="H7" s="34"/>
      <x:c r="I7" s="34"/>
      <x:c r="J7" s="2"/>
      <x:c r="K7" s="2"/>
      <x:c r="L7" s="62"/>
      <x:c r="M7" s="62"/>
    </x:row>
    <x:row r="8" ht="23" customHeight="1">
      <x:c r="A8" s="1"/>
      <x:c r="B8" s="1"/>
      <x:c r="C8" s="2" t="str">
        <x:v>Ταμειακά διαθέσιμα και ισοδύναμα</x:v>
      </x:c>
      <x:c r="D8" s="48"/>
      <x:c r="E8" s="48"/>
      <x:c r="F8" s="48"/>
      <x:c r="G8" s="48"/>
      <x:c r="H8" s="48"/>
      <x:c r="I8" s="48"/>
      <x:c r="J8" s="2"/>
      <x:c r="K8" s="2"/>
      <x:c r="L8" s="62"/>
      <x:c r="M8" s="62"/>
    </x:row>
    <x:row r="9" ht="23" customHeight="1">
      <x:c r="A9" s="1"/>
      <x:c r="B9" s="1"/>
      <x:c r="C9" s="2" t="str">
        <x:v>Ρευστοποιήσιμες βραχυπρόθεσμες επενδύσεις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2" t="str">
        <x:v>Εμπορικές απαιτήσεις</x:v>
      </x:c>
      <x:c r="D10" s="48"/>
      <x:c r="E10" s="48"/>
      <x:c r="F10" s="48"/>
      <x:c r="G10" s="48"/>
      <x:c r="H10" s="48"/>
      <x:c r="I10" s="48"/>
      <x:c r="J10" s="2"/>
      <x:c r="K10" s="2"/>
      <x:c r="L10" s="62"/>
      <x:c r="M10" s="62"/>
    </x:row>
    <x:row r="11" ht="23" customHeight="1">
      <x:c r="A11" s="1"/>
      <x:c r="B11" s="1"/>
      <x:c r="C11" s="2" t="str">
        <x:v>Αποθέματα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Προπληρωμές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Απαιτήσεις φόρου εισοδήματος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Κυκλοφορούντα παράγωγα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2" t="str">
        <x:v>Δεσμευμένες βραχυπρόθεσμες καταθέσεις</x:v>
      </x:c>
      <x:c r="D15" s="48"/>
      <x:c r="E15" s="48"/>
      <x:c r="F15" s="48"/>
      <x:c r="G15" s="48"/>
      <x:c r="H15" s="48"/>
      <x:c r="I15" s="48"/>
      <x:c r="J15" s="2"/>
      <x:c r="K15" s="2"/>
      <x:c r="L15" s="62"/>
      <x:c r="M15" s="62"/>
    </x:row>
    <x:row r="16" ht="23" customHeight="1">
      <x:c r="A16" s="1"/>
      <x:c r="B16" s="1"/>
      <x:c r="C16" s="2" t="str">
        <x:v>Λοιπά κυκλοφορούντα στοιχεία</x:v>
      </x:c>
      <x:c r="D16" s="48"/>
      <x:c r="E16" s="48"/>
      <x:c r="F16" s="48"/>
      <x:c r="G16" s="48"/>
      <x:c r="H16" s="48"/>
      <x:c r="I16" s="48"/>
      <x:c r="J16" s="2"/>
      <x:c r="K16" s="2"/>
      <x:c r="L16" s="62"/>
      <x:c r="M16" s="62"/>
    </x:row>
    <x:row r="17" ht="23" customHeight="1">
      <x:c r="A17" s="1"/>
      <x:c r="B17" s="1"/>
      <x:c r="C17" s="56" t="str">
        <x:v>Σύνολο κυκλοφορούντος ενεργητικού</x:v>
      </x:c>
      <x:c r="D17" s="60"/>
      <x:c r="E17" s="60"/>
      <x:c r="F17" s="60"/>
      <x:c r="G17" s="60"/>
      <x:c r="H17" s="60"/>
      <x:c r="I17" s="60"/>
      <x:c r="J17" s="2"/>
      <x:c r="K17" s="2"/>
      <x:c r="L17" s="62"/>
      <x:c r="M17" s="62"/>
    </x:row>
    <x:row r="18" ht="25" customHeight="1">
      <x:c r="A18" s="1"/>
      <x:c r="B18" s="1"/>
      <x:c r="C18" s="34" t="str">
        <x:v>Μη κυκλοφορούν ενεργητικό</x:v>
      </x:c>
      <x:c r="D18" s="34"/>
      <x:c r="E18" s="34"/>
      <x:c r="F18" s="34"/>
      <x:c r="G18" s="34"/>
      <x:c r="H18" s="34"/>
      <x:c r="I18" s="34"/>
      <x:c r="J18" s="2"/>
      <x:c r="K18" s="2"/>
      <x:c r="L18" s="62"/>
      <x:c r="M18" s="62"/>
    </x:row>
    <x:row r="19" ht="23" customHeight="1">
      <x:c r="A19" s="1"/>
      <x:c r="B19" s="1"/>
      <x:c r="C19" s="2" t="str">
        <x:v>Ενσώματα πάγια, καθαρή αξία</x:v>
      </x:c>
      <x:c r="D19" s="48"/>
      <x:c r="E19" s="48"/>
      <x:c r="F19" s="48"/>
      <x:c r="G19" s="48"/>
      <x:c r="H19" s="48"/>
      <x:c r="I19" s="48"/>
      <x:c r="J19" s="2"/>
      <x:c r="K19" s="2"/>
      <x:c r="L19" s="62"/>
      <x:c r="M19" s="62"/>
    </x:row>
    <x:row r="20" ht="23" customHeight="1">
      <x:c r="A20" s="1"/>
      <x:c r="B20" s="1"/>
      <x:c r="C20" s="2" t="str">
        <x:v>Περιουσιακά στοιχεία δικαιώματος χρήσης</x:v>
      </x:c>
      <x:c r="D20" s="48"/>
      <x:c r="E20" s="48"/>
      <x:c r="F20" s="48"/>
      <x:c r="G20" s="48"/>
      <x:c r="H20" s="48"/>
      <x:c r="I20" s="48"/>
      <x:c r="J20" s="2"/>
      <x:c r="K20" s="2"/>
      <x:c r="L20" s="62"/>
      <x:c r="M20" s="62"/>
    </x:row>
    <x:row r="21" ht="23" customHeight="1">
      <x:c r="A21" s="1"/>
      <x:c r="B21" s="1"/>
      <x:c r="C21" s="2" t="str">
        <x:v>Υπεραξία</x:v>
      </x:c>
      <x:c r="D21" s="48"/>
      <x:c r="E21" s="48"/>
      <x:c r="F21" s="48"/>
      <x:c r="G21" s="48"/>
      <x:c r="H21" s="48"/>
      <x:c r="I21" s="48"/>
      <x:c r="J21" s="2"/>
      <x:c r="K21" s="2"/>
      <x:c r="L21" s="62"/>
      <x:c r="M21" s="62"/>
    </x:row>
    <x:row r="22" ht="23" customHeight="1">
      <x:c r="A22" s="1"/>
      <x:c r="B22" s="1"/>
      <x:c r="C22" s="2" t="str">
        <x:v>Λοιπά άυλα περιουσιακά στοιχεία</x:v>
      </x:c>
      <x:c r="D22" s="48"/>
      <x:c r="E22" s="48"/>
      <x:c r="F22" s="48"/>
      <x:c r="G22" s="48"/>
      <x:c r="H22" s="48"/>
      <x:c r="I22" s="48"/>
      <x:c r="J22" s="2"/>
      <x:c r="K22" s="2"/>
      <x:c r="L22" s="62"/>
      <x:c r="M22" s="62"/>
    </x:row>
    <x:row r="23" ht="23" customHeight="1">
      <x:c r="A23" s="1"/>
      <x:c r="B23" s="1"/>
      <x:c r="C23" s="2" t="str">
        <x:v>Επενδύσεις σε συγγενείς και κοινοπραξίες</x:v>
      </x:c>
      <x:c r="D23" s="48"/>
      <x:c r="E23" s="48"/>
      <x:c r="F23" s="48"/>
      <x:c r="G23" s="48"/>
      <x:c r="H23" s="48"/>
      <x:c r="I23" s="48"/>
      <x:c r="J23" s="2"/>
      <x:c r="K23" s="2"/>
      <x:c r="L23" s="62"/>
      <x:c r="M23" s="62"/>
    </x:row>
    <x:row r="24" ht="23" customHeight="1">
      <x:c r="A24" s="1"/>
      <x:c r="B24" s="1"/>
      <x:c r="C24" s="2" t="str">
        <x:v>Επενδύσεις σε θυγατρικές</x:v>
      </x:c>
      <x:c r="D24" s="48"/>
      <x:c r="E24" s="48"/>
      <x:c r="F24" s="48"/>
      <x:c r="G24" s="48"/>
      <x:c r="H24" s="48"/>
      <x:c r="I24" s="48"/>
      <x:c r="J24" s="2"/>
      <x:c r="K24" s="2"/>
      <x:c r="L24" s="62"/>
      <x:c r="M24" s="62"/>
    </x:row>
    <x:row r="25" ht="23" customHeight="1">
      <x:c r="A25" s="1"/>
      <x:c r="B25" s="1"/>
      <x:c r="C25" s="2" t="str">
        <x:v>Λοιπά μη κυκλοφορούντα χρηματοοικονομικά</x:v>
      </x:c>
      <x:c r="D25" s="48"/>
      <x:c r="E25" s="48"/>
      <x:c r="F25" s="48"/>
      <x:c r="G25" s="48"/>
      <x:c r="H25" s="48"/>
      <x:c r="I25" s="48"/>
      <x:c r="J25" s="2"/>
      <x:c r="K25" s="2"/>
      <x:c r="L25" s="62"/>
      <x:c r="M25" s="62"/>
    </x:row>
    <x:row r="26" ht="23" customHeight="1">
      <x:c r="A26" s="1"/>
      <x:c r="B26" s="1"/>
      <x:c r="C26" s="2" t="str">
        <x:v>Αναβαλλόμενες φορολογικές απαιτήσεις</x:v>
      </x:c>
      <x:c r="D26" s="48"/>
      <x:c r="E26" s="48"/>
      <x:c r="F26" s="48"/>
      <x:c r="G26" s="48"/>
      <x:c r="H26" s="48"/>
      <x:c r="I26" s="48"/>
      <x:c r="J26" s="2"/>
      <x:c r="K26" s="2"/>
      <x:c r="L26" s="62"/>
      <x:c r="M26" s="62"/>
    </x:row>
    <x:row r="27" ht="23" customHeight="1">
      <x:c r="A27" s="1"/>
      <x:c r="B27" s="1"/>
      <x:c r="C27" s="2" t="str">
        <x:v>Λοιπά μη κυκλοφορούντα στοιχεία</x:v>
      </x:c>
      <x:c r="D27" s="48"/>
      <x:c r="E27" s="48"/>
      <x:c r="F27" s="48"/>
      <x:c r="G27" s="48"/>
      <x:c r="H27" s="48"/>
      <x:c r="I27" s="48"/>
      <x:c r="J27" s="2"/>
      <x:c r="K27" s="2"/>
      <x:c r="L27" s="62"/>
      <x:c r="M27" s="62"/>
    </x:row>
    <x:row r="28" ht="23" customHeight="1">
      <x:c r="A28" s="1"/>
      <x:c r="B28" s="1"/>
      <x:c r="C28" s="56" t="str">
        <x:v>Σύνολο μη κυκλοφορούντος ενεργητικού</x:v>
      </x:c>
      <x:c r="D28" s="60"/>
      <x:c r="E28" s="60"/>
      <x:c r="F28" s="60"/>
      <x:c r="G28" s="60"/>
      <x:c r="H28" s="60"/>
      <x:c r="I28" s="60"/>
      <x:c r="J28" s="2"/>
      <x:c r="K28" s="2"/>
      <x:c r="L28" s="62"/>
      <x:c r="M28" s="62"/>
    </x:row>
    <x:row r="29" ht="23" customHeight="1">
      <x:c r="A29" s="1"/>
      <x:c r="B29" s="1"/>
      <x:c r="C29" s="56" t="str">
        <x:v>Σύνολο ενεργητικού</x:v>
      </x:c>
      <x:c r="D29" s="60"/>
      <x:c r="E29" s="60"/>
      <x:c r="F29" s="60"/>
      <x:c r="G29" s="60"/>
      <x:c r="H29" s="60"/>
      <x:c r="I29" s="60"/>
      <x:c r="J29" s="2"/>
      <x:c r="K29" s="2"/>
      <x:c r="L29" s="62"/>
      <x:c r="M29" s="62"/>
    </x:row>
    <x:row r="30" ht="25" customHeight="1">
      <x:c r="A30" s="1"/>
      <x:c r="B30" s="1"/>
      <x:c r="C30" s="34" t="str">
        <x:v>Βραχυπρόθεσμες υποχρεώσεις</x:v>
      </x:c>
      <x:c r="D30" s="34"/>
      <x:c r="E30" s="34"/>
      <x:c r="F30" s="34"/>
      <x:c r="G30" s="34"/>
      <x:c r="H30" s="34"/>
      <x:c r="I30" s="34"/>
      <x:c r="J30" s="2"/>
      <x:c r="K30" s="2"/>
      <x:c r="L30" s="62"/>
      <x:c r="M30" s="62"/>
    </x:row>
    <x:row r="31" ht="23" customHeight="1">
      <x:c r="A31" s="1"/>
      <x:c r="B31" s="1"/>
      <x:c r="C31" s="2" t="str">
        <x:v>Εμπορικές υποχρεώσεις προς προμηθευτές</x:v>
      </x:c>
      <x:c r="D31" s="48"/>
      <x:c r="E31" s="48"/>
      <x:c r="F31" s="48"/>
      <x:c r="G31" s="48"/>
      <x:c r="H31" s="48"/>
      <x:c r="I31" s="48"/>
      <x:c r="J31" s="2"/>
      <x:c r="K31" s="2"/>
      <x:c r="L31" s="62"/>
      <x:c r="M31" s="62"/>
    </x:row>
    <x:row r="32" ht="23" customHeight="1">
      <x:c r="A32" s="1"/>
      <x:c r="B32" s="1"/>
      <x:c r="C32" s="2" t="str">
        <x:v>Βραχυπρόθεσμα δάνεια και τρέχουσες δόσεις</x:v>
      </x:c>
      <x:c r="D32" s="48"/>
      <x:c r="E32" s="48"/>
      <x:c r="F32" s="48"/>
      <x:c r="G32" s="48"/>
      <x:c r="H32" s="48"/>
      <x:c r="I32" s="48"/>
      <x:c r="J32" s="2"/>
      <x:c r="K32" s="2"/>
      <x:c r="L32" s="62"/>
      <x:c r="M32" s="62"/>
    </x:row>
    <x:row r="33" ht="23" customHeight="1">
      <x:c r="A33" s="1"/>
      <x:c r="B33" s="1"/>
      <x:c r="C33" s="2" t="str">
        <x:v>Βραχυπρόθεσμες υποχρεώσεις μισθώσεων</x:v>
      </x:c>
      <x:c r="D33" s="48"/>
      <x:c r="E33" s="48"/>
      <x:c r="F33" s="48"/>
      <x:c r="G33" s="48"/>
      <x:c r="H33" s="48"/>
      <x:c r="I33" s="48"/>
      <x:c r="J33" s="2"/>
      <x:c r="K33" s="2"/>
      <x:c r="L33" s="62"/>
      <x:c r="M33" s="62"/>
    </x:row>
    <x:row r="34" ht="23" customHeight="1">
      <x:c r="A34" s="1"/>
      <x:c r="B34" s="1"/>
      <x:c r="C34" s="2" t="str">
        <x:v>Τρέχουσες φορολογικές υποχρεώσεις</x:v>
      </x:c>
      <x:c r="D34" s="48"/>
      <x:c r="E34" s="48"/>
      <x:c r="F34" s="48"/>
      <x:c r="G34" s="48"/>
      <x:c r="H34" s="48"/>
      <x:c r="I34" s="48"/>
      <x:c r="J34" s="2"/>
      <x:c r="K34" s="2"/>
      <x:c r="L34" s="62"/>
      <x:c r="M34" s="62"/>
    </x:row>
    <x:row r="35" ht="23" customHeight="1">
      <x:c r="A35" s="1"/>
      <x:c r="B35" s="1"/>
      <x:c r="C35" s="2" t="str">
        <x:v>Βραχυπρόθεσμες προβλέψεις</x:v>
      </x:c>
      <x:c r="D35" s="48"/>
      <x:c r="E35" s="48"/>
      <x:c r="F35" s="48"/>
      <x:c r="G35" s="48"/>
      <x:c r="H35" s="48"/>
      <x:c r="I35" s="48"/>
      <x:c r="J35" s="2"/>
      <x:c r="K35" s="2"/>
      <x:c r="L35" s="62"/>
      <x:c r="M35" s="62"/>
    </x:row>
    <x:row r="36" ht="23" customHeight="1">
      <x:c r="A36" s="1"/>
      <x:c r="B36" s="1"/>
      <x:c r="C36" s="2" t="str">
        <x:v>Λοιπές βραχυπρόθεσμες υποχρεώσεις</x:v>
      </x:c>
      <x:c r="D36" s="48"/>
      <x:c r="E36" s="48"/>
      <x:c r="F36" s="48"/>
      <x:c r="G36" s="48"/>
      <x:c r="H36" s="48"/>
      <x:c r="I36" s="48"/>
      <x:c r="J36" s="2"/>
      <x:c r="K36" s="2"/>
      <x:c r="L36" s="62"/>
      <x:c r="M36" s="62"/>
    </x:row>
    <x:row r="37" ht="23" customHeight="1">
      <x:c r="A37" s="1"/>
      <x:c r="B37" s="1"/>
      <x:c r="C37" s="56" t="str">
        <x:v>Σύνολο βραχυπρόθεσμων υποχρεώσεων</x:v>
      </x:c>
      <x:c r="D37" s="60"/>
      <x:c r="E37" s="60"/>
      <x:c r="F37" s="60"/>
      <x:c r="G37" s="60"/>
      <x:c r="H37" s="60"/>
      <x:c r="I37" s="60"/>
      <x:c r="J37" s="2"/>
      <x:c r="K37" s="2"/>
      <x:c r="L37" s="62"/>
      <x:c r="M37" s="62"/>
    </x:row>
    <x:row r="38" ht="25" customHeight="1">
      <x:c r="A38" s="1"/>
      <x:c r="B38" s="1"/>
      <x:c r="C38" s="34" t="str">
        <x:v>Μακροπρόθεσμες υποχρεώσεις</x:v>
      </x:c>
      <x:c r="D38" s="34"/>
      <x:c r="E38" s="34"/>
      <x:c r="F38" s="34"/>
      <x:c r="G38" s="34"/>
      <x:c r="H38" s="34"/>
      <x:c r="I38" s="34"/>
      <x:c r="J38" s="2"/>
      <x:c r="K38" s="2"/>
      <x:c r="L38" s="62"/>
      <x:c r="M38" s="62"/>
    </x:row>
    <x:row r="39" ht="23" customHeight="1">
      <x:c r="A39" s="1"/>
      <x:c r="B39" s="1"/>
      <x:c r="C39" s="2" t="str">
        <x:v>Μακροπρόθεσμα δάνεια</x:v>
      </x:c>
      <x:c r="D39" s="48"/>
      <x:c r="E39" s="48"/>
      <x:c r="F39" s="48"/>
      <x:c r="G39" s="48"/>
      <x:c r="H39" s="48"/>
      <x:c r="I39" s="48"/>
      <x:c r="J39" s="2"/>
      <x:c r="K39" s="2"/>
      <x:c r="L39" s="62"/>
      <x:c r="M39" s="62"/>
    </x:row>
    <x:row r="40" ht="23" customHeight="1">
      <x:c r="A40" s="1"/>
      <x:c r="B40" s="1"/>
      <x:c r="C40" s="2" t="str">
        <x:v>Μακροπρόθεσμες υποχρεώσεις μισθώσεων</x:v>
      </x:c>
      <x:c r="D40" s="48"/>
      <x:c r="E40" s="48"/>
      <x:c r="F40" s="48"/>
      <x:c r="G40" s="48"/>
      <x:c r="H40" s="48"/>
      <x:c r="I40" s="48"/>
      <x:c r="J40" s="2"/>
      <x:c r="K40" s="2"/>
      <x:c r="L40" s="62"/>
      <x:c r="M40" s="62"/>
    </x:row>
    <x:row r="41" ht="23" customHeight="1">
      <x:c r="A41" s="1"/>
      <x:c r="B41" s="1"/>
      <x:c r="C41" s="2" t="str">
        <x:v>Υποχρεώσεις παροχών προσωπικού</x:v>
      </x:c>
      <x:c r="D41" s="48"/>
      <x:c r="E41" s="48"/>
      <x:c r="F41" s="48"/>
      <x:c r="G41" s="48"/>
      <x:c r="H41" s="48"/>
      <x:c r="I41" s="48"/>
      <x:c r="J41" s="2"/>
      <x:c r="K41" s="2"/>
      <x:c r="L41" s="62"/>
      <x:c r="M41" s="62"/>
    </x:row>
    <x:row r="42" ht="23" customHeight="1">
      <x:c r="A42" s="1"/>
      <x:c r="B42" s="1"/>
      <x:c r="C42" s="2" t="str">
        <x:v>Αναβαλλόμενες φορολογικές υποχρεώσεις</x:v>
      </x:c>
      <x:c r="D42" s="48"/>
      <x:c r="E42" s="48"/>
      <x:c r="F42" s="48"/>
      <x:c r="G42" s="48"/>
      <x:c r="H42" s="48"/>
      <x:c r="I42" s="48"/>
      <x:c r="J42" s="2"/>
      <x:c r="K42" s="2"/>
      <x:c r="L42" s="62"/>
      <x:c r="M42" s="62"/>
    </x:row>
    <x:row r="43" ht="23" customHeight="1">
      <x:c r="A43" s="1"/>
      <x:c r="B43" s="1"/>
      <x:c r="C43" s="2" t="str">
        <x:v>Λοιπές μακροπρόθεσμες υποχρεώσεις</x:v>
      </x:c>
      <x:c r="D43" s="48"/>
      <x:c r="E43" s="48"/>
      <x:c r="F43" s="48"/>
      <x:c r="G43" s="48"/>
      <x:c r="H43" s="48"/>
      <x:c r="I43" s="48"/>
      <x:c r="J43" s="2"/>
      <x:c r="K43" s="2"/>
      <x:c r="L43" s="62"/>
      <x:c r="M43" s="62"/>
    </x:row>
    <x:row r="44" ht="23" customHeight="1">
      <x:c r="A44" s="1"/>
      <x:c r="B44" s="1"/>
      <x:c r="C44" s="56" t="str">
        <x:v>Σύνολο μακροπρόθεσμων υποχρεώσεων</x:v>
      </x:c>
      <x:c r="D44" s="60"/>
      <x:c r="E44" s="60"/>
      <x:c r="F44" s="60"/>
      <x:c r="G44" s="60"/>
      <x:c r="H44" s="60"/>
      <x:c r="I44" s="60"/>
      <x:c r="J44" s="2"/>
      <x:c r="K44" s="2"/>
      <x:c r="L44" s="62"/>
      <x:c r="M44" s="62"/>
    </x:row>
    <x:row r="45" ht="23" customHeight="1">
      <x:c r="A45" s="1"/>
      <x:c r="B45" s="1"/>
      <x:c r="C45" s="56" t="str">
        <x:v>Σύνολο υποχρεώσεων</x:v>
      </x:c>
      <x:c r="D45" s="60"/>
      <x:c r="E45" s="60"/>
      <x:c r="F45" s="60"/>
      <x:c r="G45" s="60"/>
      <x:c r="H45" s="60"/>
      <x:c r="I45" s="60"/>
      <x:c r="J45" s="2"/>
      <x:c r="K45" s="2"/>
      <x:c r="L45" s="62"/>
      <x:c r="M45" s="62"/>
    </x:row>
    <x:row r="46" ht="25" customHeight="1">
      <x:c r="A46" s="1"/>
      <x:c r="B46" s="1"/>
      <x:c r="C46" s="34" t="str">
        <x:v>Ίδια κεφάλαια</x:v>
      </x:c>
      <x:c r="D46" s="34"/>
      <x:c r="E46" s="34"/>
      <x:c r="F46" s="34"/>
      <x:c r="G46" s="34"/>
      <x:c r="H46" s="34"/>
      <x:c r="I46" s="34"/>
      <x:c r="J46" s="2"/>
      <x:c r="K46" s="2"/>
      <x:c r="L46" s="62"/>
      <x:c r="M46" s="62"/>
    </x:row>
    <x:row r="47" ht="23" customHeight="1">
      <x:c r="A47" s="1"/>
      <x:c r="B47" s="1"/>
      <x:c r="C47" s="2" t="str">
        <x:v>Μετοχικό κεφάλαιο και υπέρ το άρτιο</x:v>
      </x:c>
      <x:c r="D47" s="48"/>
      <x:c r="E47" s="48"/>
      <x:c r="F47" s="48"/>
      <x:c r="G47" s="48"/>
      <x:c r="H47" s="48"/>
      <x:c r="I47" s="48"/>
      <x:c r="J47" s="2"/>
      <x:c r="K47" s="2"/>
      <x:c r="L47" s="62"/>
      <x:c r="M47" s="62"/>
    </x:row>
    <x:row r="48" ht="23" customHeight="1">
      <x:c r="A48" s="1"/>
      <x:c r="B48" s="1"/>
      <x:c r="C48" s="2" t="str">
        <x:v>Αποθεματικά και ίδιες μετοχές, καθαρά</x:v>
      </x:c>
      <x:c r="D48" s="48"/>
      <x:c r="E48" s="48"/>
      <x:c r="F48" s="48"/>
      <x:c r="G48" s="48"/>
      <x:c r="H48" s="48"/>
      <x:c r="I48" s="48"/>
      <x:c r="J48" s="2"/>
      <x:c r="K48" s="2"/>
      <x:c r="L48" s="62"/>
      <x:c r="M48" s="62"/>
    </x:row>
    <x:row r="49" ht="23" customHeight="1">
      <x:c r="A49" s="1"/>
      <x:c r="B49" s="1"/>
      <x:c r="C49" s="2" t="str">
        <x:v>Κέρδη εις νέον</x:v>
      </x:c>
      <x:c r="D49" s="48"/>
      <x:c r="E49" s="48"/>
      <x:c r="F49" s="48"/>
      <x:c r="G49" s="48"/>
      <x:c r="H49" s="48"/>
      <x:c r="I49" s="48"/>
      <x:c r="J49" s="2"/>
      <x:c r="K49" s="2"/>
      <x:c r="L49" s="62"/>
      <x:c r="M49" s="62"/>
    </x:row>
    <x:row r="50" ht="23" customHeight="1">
      <x:c r="A50" s="1"/>
      <x:c r="B50" s="1"/>
      <x:c r="C50" s="2" t="str">
        <x:v>Ίδια κεφάλαια μετόχων μητρικής</x:v>
      </x:c>
      <x:c r="D50" s="48"/>
      <x:c r="E50" s="48"/>
      <x:c r="F50" s="48"/>
      <x:c r="G50" s="48"/>
      <x:c r="H50" s="48"/>
      <x:c r="I50" s="48"/>
      <x:c r="J50" s="2"/>
      <x:c r="K50" s="2"/>
      <x:c r="L50" s="62"/>
      <x:c r="M50" s="62"/>
    </x:row>
    <x:row r="51" ht="23" customHeight="1">
      <x:c r="A51" s="1"/>
      <x:c r="B51" s="1"/>
      <x:c r="C51" s="2" t="str">
        <x:v>Μη ελέγχουσες συμμετοχές</x:v>
      </x:c>
      <x:c r="D51" s="48"/>
      <x:c r="E51" s="48"/>
      <x:c r="F51" s="48"/>
      <x:c r="G51" s="48"/>
      <x:c r="H51" s="48"/>
      <x:c r="I51" s="48"/>
      <x:c r="J51" s="2"/>
      <x:c r="K51" s="2"/>
      <x:c r="L51" s="62"/>
      <x:c r="M51" s="62"/>
    </x:row>
    <x:row r="52" ht="23" customHeight="1">
      <x:c r="A52" s="1"/>
      <x:c r="B52" s="1"/>
      <x:c r="C52" s="56" t="str">
        <x:v>Σύνολο ιδίων κεφαλαίων</x:v>
      </x:c>
      <x:c r="D52" s="60"/>
      <x:c r="E52" s="60"/>
      <x:c r="F52" s="60"/>
      <x:c r="G52" s="60"/>
      <x:c r="H52" s="60"/>
      <x:c r="I52" s="60"/>
      <x:c r="J52" s="2"/>
      <x:c r="K52" s="2"/>
      <x:c r="L52" s="62"/>
      <x:c r="M52" s="62"/>
    </x:row>
    <x:row r="53" ht="23" customHeight="1">
      <x:c r="A53" s="1"/>
      <x:c r="B53" s="1"/>
      <x:c r="C53" s="2" t="str">
        <x:v>Προνομιούχα κεφάλαια εντός μητρικής</x:v>
      </x:c>
      <x:c r="D53" s="48"/>
      <x:c r="E53" s="48"/>
      <x:c r="F53" s="48"/>
      <x:c r="G53" s="48"/>
      <x:c r="H53" s="48"/>
      <x:c r="I53" s="48"/>
      <x:c r="J53" s="2"/>
      <x:c r="K53" s="2"/>
      <x:c r="L53" s="62"/>
      <x:c r="M53" s="62"/>
    </x:row>
    <x:row r="54" ht="23" customHeight="1">
      <x:c r="A54" s="1"/>
      <x:c r="B54" s="1"/>
      <x:c r="C54" s="2" t="str">
        <x:v>Ληξιπρόθεσμες υποχρεώσεις, προαιρετικά</x:v>
      </x:c>
      <x:c r="D54" s="48"/>
      <x:c r="E54" s="48"/>
      <x:c r="F54" s="48"/>
      <x:c r="G54" s="48"/>
      <x:c r="H54" s="48"/>
      <x:c r="I54" s="48"/>
      <x:c r="J54" s="2"/>
      <x:c r="K54" s="2"/>
      <x:c r="L54" s="62"/>
      <x:c r="M54" s="62"/>
    </x:row>
    <x:row r="55" ht="23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62"/>
      <x:c r="M55" s="62"/>
    </x:row>
    <x:row r="56" ht="23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62"/>
      <x:c r="M56" s="62"/>
    </x:row>
    <x:row r="57" ht="23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62"/>
      <x:c r="M57" s="62"/>
    </x:row>
    <x:row r="59">
      <x:c r="C59" t="str">
        <x:v>Τίτλος ετήσιας έκθεσης / χρήση</x:v>
      </x:c>
      <x:c r="D59" s="64"/>
      <x:c r="E59" s="64"/>
      <x:c r="F59" s="64"/>
      <x:c r="G59" s="64"/>
      <x:c r="H59" s="64"/>
      <x:c r="I59" s="64"/>
    </x:row>
    <x:row r="60">
      <x:c r="C60" t="str">
        <x:v>Σύνδεσμος έκθεσης</x:v>
      </x:c>
      <x:c r="D60" s="64"/>
      <x:c r="E60" s="64"/>
      <x:c r="F60" s="64"/>
      <x:c r="G60" s="64"/>
      <x:c r="H60" s="64"/>
      <x:c r="I60" s="64"/>
    </x:row>
    <x:row r="61">
      <x:c r="C61" t="str">
        <x:v>Σελίδα κατάστασης / σημείωση</x:v>
      </x:c>
      <x:c r="D61" s="64"/>
      <x:c r="E61" s="64"/>
      <x:c r="F61" s="64"/>
      <x:c r="G61" s="64"/>
      <x:c r="H61" s="64"/>
      <x:c r="I61" s="64"/>
    </x:row>
    <x:row r="62">
      <x:c r="C62" t="str">
        <x:v>Ημερομηνία αναφοράς</x:v>
      </x:c>
      <x:c r="D62" s="64"/>
      <x:c r="E62" s="64"/>
      <x:c r="F62" s="64"/>
      <x:c r="G62" s="64"/>
      <x:c r="H62" s="64"/>
      <x:c r="I62" s="64"/>
    </x:row>
    <x:row r="63">
      <x:c r="C63" t="str">
        <x:v>Αναμορφώσεις / αναταξινομήσεις</x:v>
      </x:c>
      <x:c r="D63" s="64"/>
      <x:c r="E63" s="64"/>
      <x:c r="F63" s="64"/>
      <x:c r="G63" s="64"/>
      <x:c r="H63" s="64"/>
      <x:c r="I63" s="6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Αποτελέσματα Χρήσης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Έξοδα θετικά. Έσοδα, ζημιές και προσαρμογές με το οικονομικό τους πρόσημο.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Μία πηγή ανά έτος: συμπληρώστε τα πεδία έκθεσης κάτω από την κατάσταση.</x:v>
      </x:c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Αντιστοίχιση / γραμμή έκθεσης</x:v>
      </x:c>
      <x:c r="L5" s="2" t="str">
        <x:v>Έκθεση / σελίδα</x:v>
      </x:c>
      <x:c r="M5" s="2" t="str">
        <x:v>URL / σημείωση πηγής</x:v>
      </x:c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Λειτουργικά αποτελέσματα</x:v>
      </x:c>
      <x:c r="D7" s="34"/>
      <x:c r="E7" s="34"/>
      <x:c r="F7" s="34"/>
      <x:c r="G7" s="34"/>
      <x:c r="H7" s="34"/>
      <x:c r="I7" s="34"/>
      <x:c r="J7" s="2"/>
      <x:c r="K7" s="2"/>
      <x:c r="L7" s="62"/>
      <x:c r="M7" s="62"/>
    </x:row>
    <x:row r="8" ht="23" customHeight="1">
      <x:c r="A8" s="1"/>
      <x:c r="B8" s="1"/>
      <x:c r="C8" s="2" t="str">
        <x:v>Κύκλος εργασιών</x:v>
      </x:c>
      <x:c r="D8" s="48"/>
      <x:c r="E8" s="48"/>
      <x:c r="F8" s="48"/>
      <x:c r="G8" s="48"/>
      <x:c r="H8" s="48"/>
      <x:c r="I8" s="48"/>
      <x:c r="J8" s="2"/>
      <x:c r="K8" s="2"/>
      <x:c r="L8" s="62"/>
      <x:c r="M8" s="62"/>
    </x:row>
    <x:row r="9" ht="23" customHeight="1">
      <x:c r="A9" s="1"/>
      <x:c r="B9" s="1"/>
      <x:c r="C9" s="2" t="str">
        <x:v>Κόστος πωληθέντων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56" t="str">
        <x:v>Μικτό κέρδος</x:v>
      </x:c>
      <x:c r="D10" s="60"/>
      <x:c r="E10" s="60"/>
      <x:c r="F10" s="60"/>
      <x:c r="G10" s="60"/>
      <x:c r="H10" s="60"/>
      <x:c r="I10" s="60"/>
      <x:c r="J10" s="2"/>
      <x:c r="K10" s="2"/>
      <x:c r="L10" s="62"/>
      <x:c r="M10" s="62"/>
    </x:row>
    <x:row r="11" ht="23" customHeight="1">
      <x:c r="A11" s="1"/>
      <x:c r="B11" s="1"/>
      <x:c r="C11" s="2" t="str">
        <x:v>Έξοδα διάθεσης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Έξοδα διοίκησης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Έξοδα έρευνας και ανάπτυξης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Λοιπά λειτουργικά έξοδα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2" t="str">
        <x:v>Λοιπά λειτουργικά έσοδα και κέρδη, καθαρά</x:v>
      </x:c>
      <x:c r="D15" s="48"/>
      <x:c r="E15" s="48"/>
      <x:c r="F15" s="48"/>
      <x:c r="G15" s="48"/>
      <x:c r="H15" s="48"/>
      <x:c r="I15" s="48"/>
      <x:c r="J15" s="2"/>
      <x:c r="K15" s="2"/>
      <x:c r="L15" s="62"/>
      <x:c r="M15" s="62"/>
    </x:row>
    <x:row r="16" ht="23" customHeight="1">
      <x:c r="A16" s="1"/>
      <x:c r="B16" s="1"/>
      <x:c r="C16" s="56" t="str">
        <x:v>Λειτουργικά κέρδη (EBIT)</x:v>
      </x:c>
      <x:c r="D16" s="60"/>
      <x:c r="E16" s="60"/>
      <x:c r="F16" s="60"/>
      <x:c r="G16" s="60"/>
      <x:c r="H16" s="60"/>
      <x:c r="I16" s="60"/>
      <x:c r="J16" s="2"/>
      <x:c r="K16" s="2"/>
      <x:c r="L16" s="62"/>
      <x:c r="M16" s="62"/>
    </x:row>
    <x:row r="17" ht="23" customHeight="1">
      <x:c r="A17" s="1"/>
      <x:c r="B17" s="1"/>
      <x:c r="C17" s="56" t="str">
        <x:v>Σύνολο αποσβέσεων</x:v>
      </x:c>
      <x:c r="D17" s="60"/>
      <x:c r="E17" s="60"/>
      <x:c r="F17" s="60"/>
      <x:c r="G17" s="60"/>
      <x:c r="H17" s="60"/>
      <x:c r="I17" s="60"/>
      <x:c r="J17" s="2"/>
      <x:c r="K17" s="2"/>
      <x:c r="L17" s="62"/>
      <x:c r="M17" s="62"/>
    </x:row>
    <x:row r="18" ht="23" customHeight="1">
      <x:c r="A18" s="1"/>
      <x:c r="B18" s="1"/>
      <x:c r="C18" s="56" t="str">
        <x:v>Δημοσιευμένο EBITDA (προαιρετικός έλεγχος)</x:v>
      </x:c>
      <x:c r="D18" s="60"/>
      <x:c r="E18" s="60"/>
      <x:c r="F18" s="60"/>
      <x:c r="G18" s="60"/>
      <x:c r="H18" s="60"/>
      <x:c r="I18" s="60"/>
      <x:c r="J18" s="2"/>
      <x:c r="K18" s="2"/>
      <x:c r="L18" s="62"/>
      <x:c r="M18" s="62"/>
    </x:row>
    <x:row r="19" ht="25" customHeight="1">
      <x:c r="A19" s="1"/>
      <x:c r="B19" s="1"/>
      <x:c r="C19" s="34" t="str">
        <x:v>Κέρδη και κατανομή</x:v>
      </x:c>
      <x:c r="D19" s="34"/>
      <x:c r="E19" s="34"/>
      <x:c r="F19" s="34"/>
      <x:c r="G19" s="34"/>
      <x:c r="H19" s="34"/>
      <x:c r="I19" s="34"/>
      <x:c r="J19" s="2"/>
      <x:c r="K19" s="2"/>
      <x:c r="L19" s="62"/>
      <x:c r="M19" s="62"/>
    </x:row>
    <x:row r="20" ht="23" customHeight="1">
      <x:c r="A20" s="1"/>
      <x:c r="B20" s="1"/>
      <x:c r="C20" s="2" t="str">
        <x:v>Χρηματοοικονομικά έσοδα</x:v>
      </x:c>
      <x:c r="D20" s="48"/>
      <x:c r="E20" s="48"/>
      <x:c r="F20" s="48"/>
      <x:c r="G20" s="48"/>
      <x:c r="H20" s="48"/>
      <x:c r="I20" s="48"/>
      <x:c r="J20" s="2"/>
      <x:c r="K20" s="2"/>
      <x:c r="L20" s="62"/>
      <x:c r="M20" s="62"/>
    </x:row>
    <x:row r="21" ht="23" customHeight="1">
      <x:c r="A21" s="1"/>
      <x:c r="B21" s="1"/>
      <x:c r="C21" s="2" t="str">
        <x:v>Σύνολο χρηματοοικονομικών εξόδων</x:v>
      </x:c>
      <x:c r="D21" s="48"/>
      <x:c r="E21" s="48"/>
      <x:c r="F21" s="48"/>
      <x:c r="G21" s="48"/>
      <x:c r="H21" s="48"/>
      <x:c r="I21" s="48"/>
      <x:c r="J21" s="2"/>
      <x:c r="K21" s="2"/>
      <x:c r="L21" s="62"/>
      <x:c r="M21" s="62"/>
    </x:row>
    <x:row r="22" ht="23" customHeight="1">
      <x:c r="A22" s="1"/>
      <x:c r="B22" s="1"/>
      <x:c r="C22" s="2" t="str">
        <x:v>Χρεωστικοί τόκοι εντός χρηματοοικονομικών εξόδων</x:v>
      </x:c>
      <x:c r="D22" s="48"/>
      <x:c r="E22" s="48"/>
      <x:c r="F22" s="48"/>
      <x:c r="G22" s="48"/>
      <x:c r="H22" s="48"/>
      <x:c r="I22" s="48"/>
      <x:c r="J22" s="2"/>
      <x:c r="K22" s="2"/>
      <x:c r="L22" s="62"/>
      <x:c r="M22" s="62"/>
    </x:row>
    <x:row r="23" ht="23" customHeight="1">
      <x:c r="A23" s="1"/>
      <x:c r="B23" s="1"/>
      <x:c r="C23" s="2" t="str">
        <x:v>Μερίδιο κερδών ή ζημιών συγγενών</x:v>
      </x:c>
      <x:c r="D23" s="48"/>
      <x:c r="E23" s="48"/>
      <x:c r="F23" s="48"/>
      <x:c r="G23" s="48"/>
      <x:c r="H23" s="48"/>
      <x:c r="I23" s="48"/>
      <x:c r="J23" s="2"/>
      <x:c r="K23" s="2"/>
      <x:c r="L23" s="62"/>
      <x:c r="M23" s="62"/>
    </x:row>
    <x:row r="24" ht="23" customHeight="1">
      <x:c r="A24" s="1"/>
      <x:c r="B24" s="1"/>
      <x:c r="C24" s="2" t="str">
        <x:v>Λοιπά μη λειτουργικά κέρδη ή ζημιές</x:v>
      </x:c>
      <x:c r="D24" s="48"/>
      <x:c r="E24" s="48"/>
      <x:c r="F24" s="48"/>
      <x:c r="G24" s="48"/>
      <x:c r="H24" s="48"/>
      <x:c r="I24" s="48"/>
      <x:c r="J24" s="2"/>
      <x:c r="K24" s="2"/>
      <x:c r="L24" s="62"/>
      <x:c r="M24" s="62"/>
    </x:row>
    <x:row r="25" ht="23" customHeight="1">
      <x:c r="A25" s="1"/>
      <x:c r="B25" s="1"/>
      <x:c r="C25" s="56" t="str">
        <x:v>Κέρδη προ φόρων</x:v>
      </x:c>
      <x:c r="D25" s="60"/>
      <x:c r="E25" s="60"/>
      <x:c r="F25" s="60"/>
      <x:c r="G25" s="60"/>
      <x:c r="H25" s="60"/>
      <x:c r="I25" s="60"/>
      <x:c r="J25" s="2"/>
      <x:c r="K25" s="2"/>
      <x:c r="L25" s="62"/>
      <x:c r="M25" s="62"/>
    </x:row>
    <x:row r="26" ht="23" customHeight="1">
      <x:c r="A26" s="1"/>
      <x:c r="B26" s="1"/>
      <x:c r="C26" s="2" t="str">
        <x:v>Φόρος εισοδήματος (όφελος αρνητικό)</x:v>
      </x:c>
      <x:c r="D26" s="48"/>
      <x:c r="E26" s="48"/>
      <x:c r="F26" s="48"/>
      <x:c r="G26" s="48"/>
      <x:c r="H26" s="48"/>
      <x:c r="I26" s="48"/>
      <x:c r="J26" s="2"/>
      <x:c r="K26" s="2"/>
      <x:c r="L26" s="62"/>
      <x:c r="M26" s="62"/>
    </x:row>
    <x:row r="27" ht="23" customHeight="1">
      <x:c r="A27" s="1"/>
      <x:c r="B27" s="1"/>
      <x:c r="C27" s="2" t="str">
        <x:v>Κέρδη διακοπεισών δραστηριοτήτων μετά φόρων</x:v>
      </x:c>
      <x:c r="D27" s="48"/>
      <x:c r="E27" s="48"/>
      <x:c r="F27" s="48"/>
      <x:c r="G27" s="48"/>
      <x:c r="H27" s="48"/>
      <x:c r="I27" s="48"/>
      <x:c r="J27" s="2"/>
      <x:c r="K27" s="2"/>
      <x:c r="L27" s="62"/>
      <x:c r="M27" s="62"/>
    </x:row>
    <x:row r="28" ht="23" customHeight="1">
      <x:c r="A28" s="1"/>
      <x:c r="B28" s="1"/>
      <x:c r="C28" s="56" t="str">
        <x:v>Καθαρά κέρδη ομίλου</x:v>
      </x:c>
      <x:c r="D28" s="60"/>
      <x:c r="E28" s="60"/>
      <x:c r="F28" s="60"/>
      <x:c r="G28" s="60"/>
      <x:c r="H28" s="60"/>
      <x:c r="I28" s="60"/>
      <x:c r="J28" s="2"/>
      <x:c r="K28" s="2"/>
      <x:c r="L28" s="62"/>
      <x:c r="M28" s="62"/>
    </x:row>
    <x:row r="29" ht="23" customHeight="1">
      <x:c r="A29" s="1"/>
      <x:c r="B29" s="1"/>
      <x:c r="C29" s="56" t="str">
        <x:v>Καθαρά κέρδη μετόχων μητρικής</x:v>
      </x:c>
      <x:c r="D29" s="60"/>
      <x:c r="E29" s="60"/>
      <x:c r="F29" s="60"/>
      <x:c r="G29" s="60"/>
      <x:c r="H29" s="60"/>
      <x:c r="I29" s="60"/>
      <x:c r="J29" s="2"/>
      <x:c r="K29" s="2"/>
      <x:c r="L29" s="62"/>
      <x:c r="M29" s="62"/>
    </x:row>
    <x:row r="30" ht="23" customHeight="1">
      <x:c r="A30" s="1"/>
      <x:c r="B30" s="1"/>
      <x:c r="C30" s="56" t="str">
        <x:v>Καθαρά κέρδη μη ελεγχουσών συμμετοχών</x:v>
      </x:c>
      <x:c r="D30" s="60"/>
      <x:c r="E30" s="60"/>
      <x:c r="F30" s="60"/>
      <x:c r="G30" s="60"/>
      <x:c r="H30" s="60"/>
      <x:c r="I30" s="60"/>
      <x:c r="J30" s="2"/>
      <x:c r="K30" s="2"/>
      <x:c r="L30" s="62"/>
      <x:c r="M30" s="62"/>
    </x:row>
    <x:row r="31" ht="23" customHeight="1">
      <x:c r="A31" s="1"/>
      <x:c r="B31" s="1"/>
      <x:c r="C31" s="2" t="str">
        <x:v>Προνομιούχα μερίσματα της χρήσης</x:v>
      </x:c>
      <x:c r="D31" s="48"/>
      <x:c r="E31" s="48"/>
      <x:c r="F31" s="48"/>
      <x:c r="G31" s="48"/>
      <x:c r="H31" s="48"/>
      <x:c r="I31" s="48"/>
      <x:c r="J31" s="2"/>
      <x:c r="K31" s="2"/>
      <x:c r="L31" s="62"/>
      <x:c r="M31" s="62"/>
    </x:row>
    <x:row r="32" ht="23" customHeight="1">
      <x:c r="A32" s="1"/>
      <x:c r="B32" s="1"/>
      <x:c r="C32" s="2" t="str">
        <x:v>Αγορές για τον δείκτη ταχύτητας προμηθευτών</x:v>
      </x:c>
      <x:c r="D32" s="48"/>
      <x:c r="E32" s="48"/>
      <x:c r="F32" s="48"/>
      <x:c r="G32" s="48"/>
      <x:c r="H32" s="48"/>
      <x:c r="I32" s="48"/>
      <x:c r="J32" s="2"/>
      <x:c r="K32" s="2"/>
      <x:c r="L32" s="62"/>
      <x:c r="M32" s="62"/>
    </x:row>
    <x:row r="33" ht="23" customHeight="1">
      <x:c r="A33" s="1"/>
      <x:c r="B33" s="1"/>
      <x:c r="C33" s="2" t="str">
        <x:v>Πωλήσεις επί πιστώσει, προαιρετικά</x:v>
      </x:c>
      <x:c r="D33" s="48"/>
      <x:c r="E33" s="48"/>
      <x:c r="F33" s="48"/>
      <x:c r="G33" s="48"/>
      <x:c r="H33" s="48"/>
      <x:c r="I33" s="48"/>
      <x:c r="J33" s="2"/>
      <x:c r="K33" s="2"/>
      <x:c r="L33" s="62"/>
      <x:c r="M33" s="62"/>
    </x:row>
    <x:row r="34" ht="23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62"/>
      <x:c r="M34" s="62"/>
    </x:row>
    <x:row r="35" ht="23" customHeight="1">
      <x:c r="A35" s="1"/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62"/>
      <x:c r="M35" s="62"/>
    </x:row>
    <x:row r="36" ht="23" customHeight="1">
      <x:c r="A36" s="1"/>
      <x:c r="B36" s="1"/>
      <x:c r="C36" s="2"/>
      <x:c r="D36" s="2"/>
      <x:c r="E36" s="2"/>
      <x:c r="F36" s="2"/>
      <x:c r="G36" s="2"/>
      <x:c r="H36" s="2"/>
      <x:c r="I36" s="2"/>
      <x:c r="J36" s="2"/>
      <x:c r="K36" s="2"/>
      <x:c r="L36" s="62"/>
      <x:c r="M36" s="62"/>
    </x:row>
    <x:row r="38">
      <x:c r="C38" t="str">
        <x:v>Τίτλος ετήσιας έκθεσης / χρήση</x:v>
      </x:c>
      <x:c r="D38" s="64"/>
      <x:c r="E38" s="64"/>
      <x:c r="F38" s="64"/>
      <x:c r="G38" s="64"/>
      <x:c r="H38" s="64"/>
      <x:c r="I38" s="64"/>
    </x:row>
    <x:row r="39">
      <x:c r="C39" t="str">
        <x:v>Σύνδεσμος έκθεσης</x:v>
      </x:c>
      <x:c r="D39" s="64"/>
      <x:c r="E39" s="64"/>
      <x:c r="F39" s="64"/>
      <x:c r="G39" s="64"/>
      <x:c r="H39" s="64"/>
      <x:c r="I39" s="64"/>
    </x:row>
    <x:row r="40">
      <x:c r="C40" t="str">
        <x:v>Σελίδα κατάστασης / σημείωση</x:v>
      </x:c>
      <x:c r="D40" s="64"/>
      <x:c r="E40" s="64"/>
      <x:c r="F40" s="64"/>
      <x:c r="G40" s="64"/>
      <x:c r="H40" s="64"/>
      <x:c r="I40" s="64"/>
    </x:row>
    <x:row r="41">
      <x:c r="C41" t="str">
        <x:v>Ημερομηνία αναφοράς</x:v>
      </x:c>
      <x:c r="D41" s="64"/>
      <x:c r="E41" s="64"/>
      <x:c r="F41" s="64"/>
      <x:c r="G41" s="64"/>
      <x:c r="H41" s="64"/>
      <x:c r="I41" s="64"/>
    </x:row>
    <x:row r="42">
      <x:c r="C42" t="str">
        <x:v>Αναμορφώσεις / αναταξινομήσεις</x:v>
      </x:c>
      <x:c r="D42" s="64"/>
      <x:c r="E42" s="64"/>
      <x:c r="F42" s="64"/>
      <x:c r="G42" s="64"/>
      <x:c r="H42" s="64"/>
      <x:c r="I42" s="6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Κατάσταση Ταμειακών Ροών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Ροές με πρόσημο: εισπράξεις θετικές και πληρωμές αρνητικές.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Μία πηγή ανά έτος: συμπληρώστε τα πεδία έκθεσης κάτω από την κατάσταση.</x:v>
      </x:c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Αντιστοίχιση / γραμμή έκθεσης</x:v>
      </x:c>
      <x:c r="L5" s="2" t="str">
        <x:v>Έκθεση / σελίδα</x:v>
      </x:c>
      <x:c r="M5" s="2" t="str">
        <x:v>URL / σημείωση πηγής</x:v>
      </x:c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1"/>
      <x:c r="B7" s="1"/>
      <x:c r="C7" s="34" t="str">
        <x:v>Λειτουργικές δραστηριότητες, έμμεση μέθοδος με πρόσημα</x:v>
      </x:c>
      <x:c r="D7" s="34"/>
      <x:c r="E7" s="34"/>
      <x:c r="F7" s="34"/>
      <x:c r="G7" s="34"/>
      <x:c r="H7" s="34"/>
      <x:c r="I7" s="34"/>
      <x:c r="J7" s="2"/>
      <x:c r="K7" s="2"/>
      <x:c r="L7" s="62"/>
      <x:c r="M7" s="62"/>
    </x:row>
    <x:row r="8" ht="23" customHeight="1">
      <x:c r="A8" s="1"/>
      <x:c r="B8" s="1"/>
      <x:c r="C8" s="2" t="str">
        <x:v>Αρχικό ποσό κερδών της κατάστασης ροών</x:v>
      </x:c>
      <x:c r="D8" s="48"/>
      <x:c r="E8" s="48"/>
      <x:c r="F8" s="48"/>
      <x:c r="G8" s="48"/>
      <x:c r="H8" s="48"/>
      <x:c r="I8" s="48"/>
      <x:c r="J8" s="2"/>
      <x:c r="K8" s="2"/>
      <x:c r="L8" s="62"/>
      <x:c r="M8" s="62"/>
    </x:row>
    <x:row r="9" ht="23" customHeight="1">
      <x:c r="A9" s="1"/>
      <x:c r="B9" s="1"/>
      <x:c r="C9" s="2" t="str">
        <x:v>Προσαρμογή αποσβέσεων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2" t="str">
        <x:v>Λοιπές μη ταμειακές προσαρμογές</x:v>
      </x:c>
      <x:c r="D10" s="48"/>
      <x:c r="E10" s="48"/>
      <x:c r="F10" s="48"/>
      <x:c r="G10" s="48"/>
      <x:c r="H10" s="48"/>
      <x:c r="I10" s="48"/>
      <x:c r="J10" s="2"/>
      <x:c r="K10" s="2"/>
      <x:c r="L10" s="62"/>
      <x:c r="M10" s="62"/>
    </x:row>
    <x:row r="11" ht="23" customHeight="1">
      <x:c r="A11" s="1"/>
      <x:c r="B11" s="1"/>
      <x:c r="C11" s="2" t="str">
        <x:v>Ταμειακή μεταβολή αποθεμάτων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Ταμειακή μεταβολή απαιτήσεων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Ταμειακή μεταβολή υποχρεώσεων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Λοιπές ταμειακές μεταβολές κεφαλαίου κίνησης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2" t="str">
        <x:v>Τόκοι πληρωθέντες εντός λειτουργικών ροών</x:v>
      </x:c>
      <x:c r="D15" s="48"/>
      <x:c r="E15" s="48"/>
      <x:c r="F15" s="48"/>
      <x:c r="G15" s="48"/>
      <x:c r="H15" s="48"/>
      <x:c r="I15" s="48"/>
      <x:c r="J15" s="2"/>
      <x:c r="K15" s="2"/>
      <x:c r="L15" s="62"/>
      <x:c r="M15" s="62"/>
    </x:row>
    <x:row r="16" ht="23" customHeight="1">
      <x:c r="A16" s="1"/>
      <x:c r="B16" s="1"/>
      <x:c r="C16" s="2" t="str">
        <x:v>Φόροι πληρωθέντες εντός λειτουργικών ροών</x:v>
      </x:c>
      <x:c r="D16" s="48"/>
      <x:c r="E16" s="48"/>
      <x:c r="F16" s="48"/>
      <x:c r="G16" s="48"/>
      <x:c r="H16" s="48"/>
      <x:c r="I16" s="48"/>
      <x:c r="J16" s="2"/>
      <x:c r="K16" s="2"/>
      <x:c r="L16" s="62"/>
      <x:c r="M16" s="62"/>
    </x:row>
    <x:row r="17" ht="23" customHeight="1">
      <x:c r="A17" s="1"/>
      <x:c r="B17" s="1"/>
      <x:c r="C17" s="2" t="str">
        <x:v>Λοιπές λειτουργικές ταμειακές ροές</x:v>
      </x:c>
      <x:c r="D17" s="48"/>
      <x:c r="E17" s="48"/>
      <x:c r="F17" s="48"/>
      <x:c r="G17" s="48"/>
      <x:c r="H17" s="48"/>
      <x:c r="I17" s="48"/>
      <x:c r="J17" s="2"/>
      <x:c r="K17" s="2"/>
      <x:c r="L17" s="62"/>
      <x:c r="M17" s="62"/>
    </x:row>
    <x:row r="18" ht="23" customHeight="1">
      <x:c r="A18" s="1"/>
      <x:c r="B18" s="1"/>
      <x:c r="C18" s="56" t="str">
        <x:v>Καθαρές λειτουργικές ταμειακές ροές</x:v>
      </x:c>
      <x:c r="D18" s="60"/>
      <x:c r="E18" s="60"/>
      <x:c r="F18" s="60"/>
      <x:c r="G18" s="60"/>
      <x:c r="H18" s="60"/>
      <x:c r="I18" s="60"/>
      <x:c r="J18" s="2"/>
      <x:c r="K18" s="2"/>
      <x:c r="L18" s="62"/>
      <x:c r="M18" s="62"/>
    </x:row>
    <x:row r="19" ht="25" customHeight="1">
      <x:c r="A19" s="1"/>
      <x:c r="B19" s="1"/>
      <x:c r="C19" s="34" t="str">
        <x:v>Επενδυτικές δραστηριότητες</x:v>
      </x:c>
      <x:c r="D19" s="34"/>
      <x:c r="E19" s="34"/>
      <x:c r="F19" s="34"/>
      <x:c r="G19" s="34"/>
      <x:c r="H19" s="34"/>
      <x:c r="I19" s="34"/>
      <x:c r="J19" s="2"/>
      <x:c r="K19" s="2"/>
      <x:c r="L19" s="62"/>
      <x:c r="M19" s="62"/>
    </x:row>
    <x:row r="20" ht="23" customHeight="1">
      <x:c r="A20" s="1"/>
      <x:c r="B20" s="1"/>
      <x:c r="C20" s="2" t="str">
        <x:v>Αγορές ενσώματων και άυλων παγίων</x:v>
      </x:c>
      <x:c r="D20" s="48"/>
      <x:c r="E20" s="48"/>
      <x:c r="F20" s="48"/>
      <x:c r="G20" s="48"/>
      <x:c r="H20" s="48"/>
      <x:c r="I20" s="48"/>
      <x:c r="J20" s="2"/>
      <x:c r="K20" s="2"/>
      <x:c r="L20" s="62"/>
      <x:c r="M20" s="62"/>
    </x:row>
    <x:row r="21" ht="23" customHeight="1">
      <x:c r="A21" s="1"/>
      <x:c r="B21" s="1"/>
      <x:c r="C21" s="2" t="str">
        <x:v>Εισπράξεις από πωλήσεις παγίων</x:v>
      </x:c>
      <x:c r="D21" s="48"/>
      <x:c r="E21" s="48"/>
      <x:c r="F21" s="48"/>
      <x:c r="G21" s="48"/>
      <x:c r="H21" s="48"/>
      <x:c r="I21" s="48"/>
      <x:c r="J21" s="2"/>
      <x:c r="K21" s="2"/>
      <x:c r="L21" s="62"/>
      <x:c r="M21" s="62"/>
    </x:row>
    <x:row r="22" ht="23" customHeight="1">
      <x:c r="A22" s="1"/>
      <x:c r="B22" s="1"/>
      <x:c r="C22" s="2" t="str">
        <x:v>Εξαγορές επιχειρήσεων, καθαρή ροή</x:v>
      </x:c>
      <x:c r="D22" s="48"/>
      <x:c r="E22" s="48"/>
      <x:c r="F22" s="48"/>
      <x:c r="G22" s="48"/>
      <x:c r="H22" s="48"/>
      <x:c r="I22" s="48"/>
      <x:c r="J22" s="2"/>
      <x:c r="K22" s="2"/>
      <x:c r="L22" s="62"/>
      <x:c r="M22" s="62"/>
    </x:row>
    <x:row r="23" ht="23" customHeight="1">
      <x:c r="A23" s="1"/>
      <x:c r="B23" s="1"/>
      <x:c r="C23" s="2" t="str">
        <x:v>Αγορές και πωλήσεις επενδύσεων, καθαρά</x:v>
      </x:c>
      <x:c r="D23" s="48"/>
      <x:c r="E23" s="48"/>
      <x:c r="F23" s="48"/>
      <x:c r="G23" s="48"/>
      <x:c r="H23" s="48"/>
      <x:c r="I23" s="48"/>
      <x:c r="J23" s="2"/>
      <x:c r="K23" s="2"/>
      <x:c r="L23" s="62"/>
      <x:c r="M23" s="62"/>
    </x:row>
    <x:row r="24" ht="23" customHeight="1">
      <x:c r="A24" s="1"/>
      <x:c r="B24" s="1"/>
      <x:c r="C24" s="2" t="str">
        <x:v>Τόκοι εισπραχθέντες στις επενδυτικές ροές</x:v>
      </x:c>
      <x:c r="D24" s="48"/>
      <x:c r="E24" s="48"/>
      <x:c r="F24" s="48"/>
      <x:c r="G24" s="48"/>
      <x:c r="H24" s="48"/>
      <x:c r="I24" s="48"/>
      <x:c r="J24" s="2"/>
      <x:c r="K24" s="2"/>
      <x:c r="L24" s="62"/>
      <x:c r="M24" s="62"/>
    </x:row>
    <x:row r="25" ht="23" customHeight="1">
      <x:c r="A25" s="1"/>
      <x:c r="B25" s="1"/>
      <x:c r="C25" s="2" t="str">
        <x:v>Μερίσματα εισπραχθέντα στις επενδυτικές ροές</x:v>
      </x:c>
      <x:c r="D25" s="48"/>
      <x:c r="E25" s="48"/>
      <x:c r="F25" s="48"/>
      <x:c r="G25" s="48"/>
      <x:c r="H25" s="48"/>
      <x:c r="I25" s="48"/>
      <x:c r="J25" s="2"/>
      <x:c r="K25" s="2"/>
      <x:c r="L25" s="62"/>
      <x:c r="M25" s="62"/>
    </x:row>
    <x:row r="26" ht="23" customHeight="1">
      <x:c r="A26" s="1"/>
      <x:c r="B26" s="1"/>
      <x:c r="C26" s="2" t="str">
        <x:v>Λοιπές επενδυτικές ταμειακές ροές</x:v>
      </x:c>
      <x:c r="D26" s="48"/>
      <x:c r="E26" s="48"/>
      <x:c r="F26" s="48"/>
      <x:c r="G26" s="48"/>
      <x:c r="H26" s="48"/>
      <x:c r="I26" s="48"/>
      <x:c r="J26" s="2"/>
      <x:c r="K26" s="2"/>
      <x:c r="L26" s="62"/>
      <x:c r="M26" s="62"/>
    </x:row>
    <x:row r="27" ht="23" customHeight="1">
      <x:c r="A27" s="1"/>
      <x:c r="B27" s="1"/>
      <x:c r="C27" s="56" t="str">
        <x:v>Καθαρές επενδυτικές ταμειακές ροές</x:v>
      </x:c>
      <x:c r="D27" s="60"/>
      <x:c r="E27" s="60"/>
      <x:c r="F27" s="60"/>
      <x:c r="G27" s="60"/>
      <x:c r="H27" s="60"/>
      <x:c r="I27" s="60"/>
      <x:c r="J27" s="2"/>
      <x:c r="K27" s="2"/>
      <x:c r="L27" s="62"/>
      <x:c r="M27" s="62"/>
    </x:row>
    <x:row r="28" ht="25" customHeight="1">
      <x:c r="A28" s="1"/>
      <x:c r="B28" s="1"/>
      <x:c r="C28" s="34" t="str">
        <x:v>Χρηματοδοτικές δραστηριότητες</x:v>
      </x:c>
      <x:c r="D28" s="34"/>
      <x:c r="E28" s="34"/>
      <x:c r="F28" s="34"/>
      <x:c r="G28" s="34"/>
      <x:c r="H28" s="34"/>
      <x:c r="I28" s="34"/>
      <x:c r="J28" s="2"/>
      <x:c r="K28" s="2"/>
      <x:c r="L28" s="62"/>
      <x:c r="M28" s="62"/>
    </x:row>
    <x:row r="29" ht="23" customHeight="1">
      <x:c r="A29" s="1"/>
      <x:c r="B29" s="1"/>
      <x:c r="C29" s="2" t="str">
        <x:v>Εισπράξεις από έκδοση μετοχών</x:v>
      </x:c>
      <x:c r="D29" s="48"/>
      <x:c r="E29" s="48"/>
      <x:c r="F29" s="48"/>
      <x:c r="G29" s="48"/>
      <x:c r="H29" s="48"/>
      <x:c r="I29" s="48"/>
      <x:c r="J29" s="2"/>
      <x:c r="K29" s="2"/>
      <x:c r="L29" s="62"/>
      <x:c r="M29" s="62"/>
    </x:row>
    <x:row r="30" ht="23" customHeight="1">
      <x:c r="A30" s="1"/>
      <x:c r="B30" s="1"/>
      <x:c r="C30" s="2" t="str">
        <x:v>Αγορές ιδίων μετοχών</x:v>
      </x:c>
      <x:c r="D30" s="48"/>
      <x:c r="E30" s="48"/>
      <x:c r="F30" s="48"/>
      <x:c r="G30" s="48"/>
      <x:c r="H30" s="48"/>
      <x:c r="I30" s="48"/>
      <x:c r="J30" s="2"/>
      <x:c r="K30" s="2"/>
      <x:c r="L30" s="62"/>
      <x:c r="M30" s="62"/>
    </x:row>
    <x:row r="31" ht="23" customHeight="1">
      <x:c r="A31" s="1"/>
      <x:c r="B31" s="1"/>
      <x:c r="C31" s="2" t="str">
        <x:v>Εισπράξεις νέων δανείων</x:v>
      </x:c>
      <x:c r="D31" s="48"/>
      <x:c r="E31" s="48"/>
      <x:c r="F31" s="48"/>
      <x:c r="G31" s="48"/>
      <x:c r="H31" s="48"/>
      <x:c r="I31" s="48"/>
      <x:c r="J31" s="2"/>
      <x:c r="K31" s="2"/>
      <x:c r="L31" s="62"/>
      <x:c r="M31" s="62"/>
    </x:row>
    <x:row r="32" ht="23" customHeight="1">
      <x:c r="A32" s="1"/>
      <x:c r="B32" s="1"/>
      <x:c r="C32" s="2" t="str">
        <x:v>Αποπληρωμές κεφαλαίου δανείων</x:v>
      </x:c>
      <x:c r="D32" s="48"/>
      <x:c r="E32" s="48"/>
      <x:c r="F32" s="48"/>
      <x:c r="G32" s="48"/>
      <x:c r="H32" s="48"/>
      <x:c r="I32" s="48"/>
      <x:c r="J32" s="2"/>
      <x:c r="K32" s="2"/>
      <x:c r="L32" s="62"/>
      <x:c r="M32" s="62"/>
    </x:row>
    <x:row r="33" ht="23" customHeight="1">
      <x:c r="A33" s="1"/>
      <x:c r="B33" s="1"/>
      <x:c r="C33" s="2" t="str">
        <x:v>Αποπληρωμές κεφαλαίου μισθώσεων</x:v>
      </x:c>
      <x:c r="D33" s="48"/>
      <x:c r="E33" s="48"/>
      <x:c r="F33" s="48"/>
      <x:c r="G33" s="48"/>
      <x:c r="H33" s="48"/>
      <x:c r="I33" s="48"/>
      <x:c r="J33" s="2"/>
      <x:c r="K33" s="2"/>
      <x:c r="L33" s="62"/>
      <x:c r="M33" s="62"/>
    </x:row>
    <x:row r="34" ht="23" customHeight="1">
      <x:c r="A34" s="1"/>
      <x:c r="B34" s="1"/>
      <x:c r="C34" s="2" t="str">
        <x:v>Μερίσματα πληρωθέντα</x:v>
      </x:c>
      <x:c r="D34" s="48"/>
      <x:c r="E34" s="48"/>
      <x:c r="F34" s="48"/>
      <x:c r="G34" s="48"/>
      <x:c r="H34" s="48"/>
      <x:c r="I34" s="48"/>
      <x:c r="J34" s="2"/>
      <x:c r="K34" s="2"/>
      <x:c r="L34" s="62"/>
      <x:c r="M34" s="62"/>
    </x:row>
    <x:row r="35" ht="23" customHeight="1">
      <x:c r="A35" s="1"/>
      <x:c r="B35" s="1"/>
      <x:c r="C35" s="2" t="str">
        <x:v>Τόκοι πληρωθέντες στις χρηματοδοτικές ροές</x:v>
      </x:c>
      <x:c r="D35" s="48"/>
      <x:c r="E35" s="48"/>
      <x:c r="F35" s="48"/>
      <x:c r="G35" s="48"/>
      <x:c r="H35" s="48"/>
      <x:c r="I35" s="48"/>
      <x:c r="J35" s="2"/>
      <x:c r="K35" s="2"/>
      <x:c r="L35" s="62"/>
      <x:c r="M35" s="62"/>
    </x:row>
    <x:row r="36" ht="23" customHeight="1">
      <x:c r="A36" s="1"/>
      <x:c r="B36" s="1"/>
      <x:c r="C36" s="2" t="str">
        <x:v>Λοιπές χρηματοδοτικές ταμειακές ροές</x:v>
      </x:c>
      <x:c r="D36" s="48"/>
      <x:c r="E36" s="48"/>
      <x:c r="F36" s="48"/>
      <x:c r="G36" s="48"/>
      <x:c r="H36" s="48"/>
      <x:c r="I36" s="48"/>
      <x:c r="J36" s="2"/>
      <x:c r="K36" s="2"/>
      <x:c r="L36" s="62"/>
      <x:c r="M36" s="62"/>
    </x:row>
    <x:row r="37" ht="23" customHeight="1">
      <x:c r="A37" s="1"/>
      <x:c r="B37" s="1"/>
      <x:c r="C37" s="56" t="str">
        <x:v>Καθαρές χρηματοδοτικές ταμειακές ροές</x:v>
      </x:c>
      <x:c r="D37" s="60"/>
      <x:c r="E37" s="60"/>
      <x:c r="F37" s="60"/>
      <x:c r="G37" s="60"/>
      <x:c r="H37" s="60"/>
      <x:c r="I37" s="60"/>
      <x:c r="J37" s="2"/>
      <x:c r="K37" s="2"/>
      <x:c r="L37" s="62"/>
      <x:c r="M37" s="62"/>
    </x:row>
    <x:row r="38" ht="25" customHeight="1">
      <x:c r="A38" s="1"/>
      <x:c r="B38" s="1"/>
      <x:c r="C38" s="34" t="str">
        <x:v>Συμφωνία διαθεσίμων και προαιρετικά στοιχεία</x:v>
      </x:c>
      <x:c r="D38" s="34"/>
      <x:c r="E38" s="34"/>
      <x:c r="F38" s="34"/>
      <x:c r="G38" s="34"/>
      <x:c r="H38" s="34"/>
      <x:c r="I38" s="34"/>
      <x:c r="J38" s="2"/>
      <x:c r="K38" s="2"/>
      <x:c r="L38" s="62"/>
      <x:c r="M38" s="62"/>
    </x:row>
    <x:row r="39" ht="23" customHeight="1">
      <x:c r="A39" s="1"/>
      <x:c r="B39" s="1"/>
      <x:c r="C39" s="2" t="str">
        <x:v>Συναλλαγματικές διαφορές διαθεσίμων</x:v>
      </x:c>
      <x:c r="D39" s="48"/>
      <x:c r="E39" s="48"/>
      <x:c r="F39" s="48"/>
      <x:c r="G39" s="48"/>
      <x:c r="H39" s="48"/>
      <x:c r="I39" s="48"/>
      <x:c r="J39" s="2"/>
      <x:c r="K39" s="2"/>
      <x:c r="L39" s="62"/>
      <x:c r="M39" s="62"/>
    </x:row>
    <x:row r="40" ht="23" customHeight="1">
      <x:c r="A40" s="1"/>
      <x:c r="B40" s="1"/>
      <x:c r="C40" s="2" t="str">
        <x:v>Διαθέσιμα αρχής περιόδου</x:v>
      </x:c>
      <x:c r="D40" s="48"/>
      <x:c r="E40" s="48"/>
      <x:c r="F40" s="48"/>
      <x:c r="G40" s="48"/>
      <x:c r="H40" s="48"/>
      <x:c r="I40" s="48"/>
      <x:c r="J40" s="2"/>
      <x:c r="K40" s="2"/>
      <x:c r="L40" s="62"/>
      <x:c r="M40" s="62"/>
    </x:row>
    <x:row r="41" ht="23" customHeight="1">
      <x:c r="A41" s="1"/>
      <x:c r="B41" s="1"/>
      <x:c r="C41" s="2" t="str">
        <x:v>Διαθέσιμα τέλους περιόδου</x:v>
      </x:c>
      <x:c r="D41" s="48"/>
      <x:c r="E41" s="48"/>
      <x:c r="F41" s="48"/>
      <x:c r="G41" s="48"/>
      <x:c r="H41" s="48"/>
      <x:c r="I41" s="48"/>
      <x:c r="J41" s="2"/>
      <x:c r="K41" s="2"/>
      <x:c r="L41" s="62"/>
      <x:c r="M41" s="62"/>
    </x:row>
    <x:row r="42" ht="23" customHeight="1">
      <x:c r="A42" s="1"/>
      <x:c r="B42" s="1"/>
      <x:c r="C42" s="2" t="str">
        <x:v>Διαφορά διαθεσίμων ροών και ισολογισμού</x:v>
      </x:c>
      <x:c r="D42" s="48"/>
      <x:c r="E42" s="48"/>
      <x:c r="F42" s="48"/>
      <x:c r="G42" s="48"/>
      <x:c r="H42" s="48"/>
      <x:c r="I42" s="48"/>
      <x:c r="J42" s="2"/>
      <x:c r="K42" s="2"/>
      <x:c r="L42" s="62"/>
      <x:c r="M42" s="62"/>
    </x:row>
    <x:row r="43" ht="23" customHeight="1">
      <x:c r="A43" s="1"/>
      <x:c r="B43" s="1"/>
      <x:c r="C43" s="2" t="str">
        <x:v>Εκτιμώμενες επενδύσεις συντήρησης (θετικές)</x:v>
      </x:c>
      <x:c r="D43" s="48"/>
      <x:c r="E43" s="48"/>
      <x:c r="F43" s="48"/>
      <x:c r="G43" s="48"/>
      <x:c r="H43" s="48"/>
      <x:c r="I43" s="48"/>
      <x:c r="J43" s="2"/>
      <x:c r="K43" s="2"/>
      <x:c r="L43" s="62"/>
      <x:c r="M43" s="62"/>
    </x:row>
    <x:row r="44" ht="23" customHeight="1">
      <x:c r="A44" s="1"/>
      <x:c r="B44" s="1"/>
      <x:c r="C44" s="2" t="str">
        <x:v>Βασική λειτουργική ροή κατά τον ορισμό της εταιρείας</x:v>
      </x:c>
      <x:c r="D44" s="48"/>
      <x:c r="E44" s="48"/>
      <x:c r="F44" s="48"/>
      <x:c r="G44" s="48"/>
      <x:c r="H44" s="48"/>
      <x:c r="I44" s="48"/>
      <x:c r="J44" s="2"/>
      <x:c r="K44" s="2"/>
      <x:c r="L44" s="62"/>
      <x:c r="M44" s="62"/>
    </x:row>
    <x:row r="45" ht="23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62"/>
      <x:c r="M45" s="62"/>
    </x:row>
    <x:row r="46" ht="23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62"/>
      <x:c r="M46" s="62"/>
    </x:row>
    <x:row r="47" ht="23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62"/>
      <x:c r="M47" s="62"/>
    </x:row>
    <x:row r="49">
      <x:c r="C49" t="str">
        <x:v>Τίτλος ετήσιας έκθεσης / χρήση</x:v>
      </x:c>
      <x:c r="D49" s="64"/>
      <x:c r="E49" s="64"/>
      <x:c r="F49" s="64"/>
      <x:c r="G49" s="64"/>
      <x:c r="H49" s="64"/>
      <x:c r="I49" s="64"/>
    </x:row>
    <x:row r="50">
      <x:c r="C50" t="str">
        <x:v>Σύνδεσμος έκθεσης</x:v>
      </x:c>
      <x:c r="D50" s="64"/>
      <x:c r="E50" s="64"/>
      <x:c r="F50" s="64"/>
      <x:c r="G50" s="64"/>
      <x:c r="H50" s="64"/>
      <x:c r="I50" s="64"/>
    </x:row>
    <x:row r="51">
      <x:c r="C51" t="str">
        <x:v>Σελίδα κατάστασης / σημείωση</x:v>
      </x:c>
      <x:c r="D51" s="64"/>
      <x:c r="E51" s="64"/>
      <x:c r="F51" s="64"/>
      <x:c r="G51" s="64"/>
      <x:c r="H51" s="64"/>
      <x:c r="I51" s="64"/>
    </x:row>
    <x:row r="52">
      <x:c r="C52" t="str">
        <x:v>Ημερομηνία αναφοράς</x:v>
      </x:c>
      <x:c r="D52" s="64"/>
      <x:c r="E52" s="64"/>
      <x:c r="F52" s="64"/>
      <x:c r="G52" s="64"/>
      <x:c r="H52" s="64"/>
      <x:c r="I52" s="64"/>
    </x:row>
    <x:row r="53">
      <x:c r="C53" t="str">
        <x:v>Αναμορφώσεις / αναταξινομήσεις</x:v>
      </x:c>
      <x:c r="D53" s="64"/>
      <x:c r="E53" s="64"/>
      <x:c r="F53" s="64"/>
      <x:c r="G53" s="64"/>
      <x:c r="H53" s="64"/>
      <x:c r="I53" s="6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Μεταβολές Ιδίων Κεφαλαίων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Συνολικά ίδια κεφάλαια ομίλου. Μειώσεις και διανομές αρνητικές.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Μία πηγή ανά έτος: συμπληρώστε τα πεδία έκθεσης κάτω από την κατάσταση.</x:v>
      </x:c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Αντιστοίχιση / γραμμή έκθεσης</x:v>
      </x:c>
      <x:c r="L5" s="2" t="str">
        <x:v>Έκθεση / σελίδα</x:v>
      </x:c>
      <x:c r="M5" s="2" t="str">
        <x:v>URL / σημείωση πηγής</x:v>
      </x:c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56" t="str">
        <x:v>Συνολικά ίδια κεφάλαια αρχής, αναμορφωμένα</x:v>
      </x:c>
      <x:c r="D7" s="60"/>
      <x:c r="E7" s="60"/>
      <x:c r="F7" s="60"/>
      <x:c r="G7" s="60"/>
      <x:c r="H7" s="60"/>
      <x:c r="I7" s="60"/>
      <x:c r="J7" s="2"/>
      <x:c r="K7" s="2"/>
      <x:c r="L7" s="62"/>
      <x:c r="M7" s="62"/>
    </x:row>
    <x:row r="8" ht="23" customHeight="1">
      <x:c r="A8" s="1"/>
      <x:c r="B8" s="1"/>
      <x:c r="C8" s="56" t="str">
        <x:v>Καθαρά κέρδη χρήσης</x:v>
      </x:c>
      <x:c r="D8" s="60"/>
      <x:c r="E8" s="60"/>
      <x:c r="F8" s="60"/>
      <x:c r="G8" s="60"/>
      <x:c r="H8" s="60"/>
      <x:c r="I8" s="60"/>
      <x:c r="J8" s="2"/>
      <x:c r="K8" s="2"/>
      <x:c r="L8" s="62"/>
      <x:c r="M8" s="62"/>
    </x:row>
    <x:row r="9" ht="23" customHeight="1">
      <x:c r="A9" s="1"/>
      <x:c r="B9" s="1"/>
      <x:c r="C9" s="2" t="str">
        <x:v>Λοιπά συνολικά εισοδήματα</x:v>
      </x:c>
      <x:c r="D9" s="48"/>
      <x:c r="E9" s="48"/>
      <x:c r="F9" s="48"/>
      <x:c r="G9" s="48"/>
      <x:c r="H9" s="48"/>
      <x:c r="I9" s="48"/>
      <x:c r="J9" s="2"/>
      <x:c r="K9" s="2"/>
      <x:c r="L9" s="62"/>
      <x:c r="M9" s="62"/>
    </x:row>
    <x:row r="10" ht="23" customHeight="1">
      <x:c r="A10" s="1"/>
      <x:c r="B10" s="1"/>
      <x:c r="C10" s="2" t="str">
        <x:v>Αυξήσεις κεφαλαίου και άσκηση δικαιωμάτων</x:v>
      </x:c>
      <x:c r="D10" s="48"/>
      <x:c r="E10" s="48"/>
      <x:c r="F10" s="48"/>
      <x:c r="G10" s="48"/>
      <x:c r="H10" s="48"/>
      <x:c r="I10" s="48"/>
      <x:c r="J10" s="2"/>
      <x:c r="K10" s="2"/>
      <x:c r="L10" s="62"/>
      <x:c r="M10" s="62"/>
    </x:row>
    <x:row r="11" ht="23" customHeight="1">
      <x:c r="A11" s="1"/>
      <x:c r="B11" s="1"/>
      <x:c r="C11" s="2" t="str">
        <x:v>Συναλλαγές ιδίων μετοχών, καθαρά</x:v>
      </x:c>
      <x:c r="D11" s="48"/>
      <x:c r="E11" s="48"/>
      <x:c r="F11" s="48"/>
      <x:c r="G11" s="48"/>
      <x:c r="H11" s="48"/>
      <x:c r="I11" s="48"/>
      <x:c r="J11" s="2"/>
      <x:c r="K11" s="2"/>
      <x:c r="L11" s="62"/>
      <x:c r="M11" s="62"/>
    </x:row>
    <x:row r="12" ht="23" customHeight="1">
      <x:c r="A12" s="1"/>
      <x:c r="B12" s="1"/>
      <x:c r="C12" s="2" t="str">
        <x:v>Μερίσματα αναγνωρισμένα στα ίδια κεφάλαια</x:v>
      </x:c>
      <x:c r="D12" s="48"/>
      <x:c r="E12" s="48"/>
      <x:c r="F12" s="48"/>
      <x:c r="G12" s="48"/>
      <x:c r="H12" s="48"/>
      <x:c r="I12" s="48"/>
      <x:c r="J12" s="2"/>
      <x:c r="K12" s="2"/>
      <x:c r="L12" s="62"/>
      <x:c r="M12" s="62"/>
    </x:row>
    <x:row r="13" ht="23" customHeight="1">
      <x:c r="A13" s="1"/>
      <x:c r="B13" s="1"/>
      <x:c r="C13" s="2" t="str">
        <x:v>Μεταβολές συμμετοχών και μειοψηφίας</x:v>
      </x:c>
      <x:c r="D13" s="48"/>
      <x:c r="E13" s="48"/>
      <x:c r="F13" s="48"/>
      <x:c r="G13" s="48"/>
      <x:c r="H13" s="48"/>
      <x:c r="I13" s="48"/>
      <x:c r="J13" s="2"/>
      <x:c r="K13" s="2"/>
      <x:c r="L13" s="62"/>
      <x:c r="M13" s="62"/>
    </x:row>
    <x:row r="14" ht="23" customHeight="1">
      <x:c r="A14" s="1"/>
      <x:c r="B14" s="1"/>
      <x:c r="C14" s="2" t="str">
        <x:v>Λοιπές μεταβολές και αναμορφώσεις</x:v>
      </x:c>
      <x:c r="D14" s="48"/>
      <x:c r="E14" s="48"/>
      <x:c r="F14" s="48"/>
      <x:c r="G14" s="48"/>
      <x:c r="H14" s="48"/>
      <x:c r="I14" s="48"/>
      <x:c r="J14" s="2"/>
      <x:c r="K14" s="2"/>
      <x:c r="L14" s="62"/>
      <x:c r="M14" s="62"/>
    </x:row>
    <x:row r="15" ht="23" customHeight="1">
      <x:c r="A15" s="1"/>
      <x:c r="B15" s="1"/>
      <x:c r="C15" s="56" t="str">
        <x:v>Συνολικά ίδια κεφάλαια τέλους</x:v>
      </x:c>
      <x:c r="D15" s="60"/>
      <x:c r="E15" s="60"/>
      <x:c r="F15" s="60"/>
      <x:c r="G15" s="60"/>
      <x:c r="H15" s="60"/>
      <x:c r="I15" s="60"/>
      <x:c r="J15" s="2"/>
      <x:c r="K15" s="2"/>
      <x:c r="L15" s="62"/>
      <x:c r="M15" s="6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62"/>
      <x:c r="M16" s="62"/>
    </x:row>
    <x:row r="17" ht="23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62"/>
      <x:c r="M17" s="6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62"/>
      <x:c r="M18" s="62"/>
    </x:row>
    <x:row r="19" ht="23" customHeight="1">
      <x:c r="A19" s="1"/>
      <x:c r="B19" s="1"/>
      <x:c r="C19" s="2"/>
      <x:c r="D19" s="2"/>
      <x:c r="E19" s="2"/>
      <x:c r="F19" s="2"/>
      <x:c r="G19" s="2"/>
      <x:c r="H19" s="2"/>
      <x:c r="I19" s="2"/>
      <x:c r="J19" s="2"/>
      <x:c r="K19" s="2"/>
      <x:c r="L19" s="62"/>
      <x:c r="M19" s="6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62"/>
      <x:c r="M20" s="62"/>
    </x:row>
    <x:row r="21" ht="23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62"/>
      <x:c r="M21" s="6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62"/>
      <x:c r="M22" s="62"/>
    </x:row>
    <x:row r="23" ht="23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62"/>
      <x:c r="M23" s="6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62"/>
      <x:c r="M24" s="62"/>
    </x:row>
    <x:row r="25" ht="23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62"/>
      <x:c r="M25" s="6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62"/>
      <x:c r="M26" s="62"/>
    </x:row>
    <x:row r="27" ht="23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62"/>
      <x:c r="M27" s="6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62"/>
      <x:c r="M28" s="62"/>
    </x:row>
    <x:row r="30">
      <x:c r="C30" t="str">
        <x:v>Τίτλος ετήσιας έκθεσης / χρήση</x:v>
      </x:c>
      <x:c r="D30" s="64"/>
      <x:c r="E30" s="64"/>
      <x:c r="F30" s="64"/>
      <x:c r="G30" s="64"/>
      <x:c r="H30" s="64"/>
      <x:c r="I30" s="64"/>
    </x:row>
    <x:row r="31">
      <x:c r="C31" t="str">
        <x:v>Σύνδεσμος έκθεσης</x:v>
      </x:c>
      <x:c r="D31" s="64"/>
      <x:c r="E31" s="64"/>
      <x:c r="F31" s="64"/>
      <x:c r="G31" s="64"/>
      <x:c r="H31" s="64"/>
      <x:c r="I31" s="64"/>
    </x:row>
    <x:row r="32">
      <x:c r="C32" t="str">
        <x:v>Σελίδα κατάστασης / σημείωση</x:v>
      </x:c>
      <x:c r="D32" s="64"/>
      <x:c r="E32" s="64"/>
      <x:c r="F32" s="64"/>
      <x:c r="G32" s="64"/>
      <x:c r="H32" s="64"/>
      <x:c r="I32" s="64"/>
    </x:row>
    <x:row r="33">
      <x:c r="C33" t="str">
        <x:v>Ημερομηνία αναφοράς</x:v>
      </x:c>
      <x:c r="D33" s="64"/>
      <x:c r="E33" s="64"/>
      <x:c r="F33" s="64"/>
      <x:c r="G33" s="64"/>
      <x:c r="H33" s="64"/>
      <x:c r="I33" s="64"/>
    </x:row>
    <x:row r="34">
      <x:c r="C34" t="str">
        <x:v>Αναμορφώσεις / αναταξινομήσεις</x:v>
      </x:c>
      <x:c r="D34" s="64"/>
      <x:c r="E34" s="64"/>
      <x:c r="F34" s="64"/>
      <x:c r="G34" s="64"/>
      <x:c r="H34" s="64"/>
      <x:c r="I34" s="64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Χρηματιστηριακά Δεδομένα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Συνεπές νόμισμα και ημερομηνία για τιμή, μετοχές και οικονομικά στοιχεία.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 t="str">
        <x:v>Μία πηγή ανά έτος: συμπληρώστε τα πεδία έκθεσης κάτω από την κατάσταση.</x:v>
      </x:c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Αντιστοίχιση / γραμμή έκθεσης</x:v>
      </x:c>
      <x:c r="L5" s="2" t="str">
        <x:v>Έκθεση / σελίδα</x:v>
      </x:c>
      <x:c r="M5" s="2" t="str">
        <x:v>URL / σημείωση πηγής</x:v>
      </x:c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Τιμή μετοχής τέλους χρήσης</x:v>
      </x:c>
      <x:c r="D7" s="50"/>
      <x:c r="E7" s="50"/>
      <x:c r="F7" s="50"/>
      <x:c r="G7" s="50"/>
      <x:c r="H7" s="50"/>
      <x:c r="I7" s="50"/>
      <x:c r="J7" s="2"/>
      <x:c r="K7" s="2" t="str">
        <x:v>Νομισματικές μονάδες ανά μετοχή, όχι εκατομμύρια.</x:v>
      </x:c>
      <x:c r="L7" s="62"/>
      <x:c r="M7" s="62"/>
    </x:row>
    <x:row r="8" ht="23" customHeight="1">
      <x:c r="A8" s="1"/>
      <x:c r="B8" s="1"/>
      <x:c r="C8" s="2" t="str">
        <x:v>Κοινές μετοχές σε κυκλοφορία τέλους χρήσης</x:v>
      </x:c>
      <x:c r="D8" s="48"/>
      <x:c r="E8" s="48"/>
      <x:c r="F8" s="48"/>
      <x:c r="G8" s="48"/>
      <x:c r="H8" s="48"/>
      <x:c r="I8" s="48"/>
      <x:c r="J8" s="2"/>
      <x:c r="K8" s="2" t="str">
        <x:v>Χωρίς ίδιες μετοχές. Μονάδα μετοχών από Ρυθμίσεις.</x:v>
      </x:c>
      <x:c r="L8" s="62"/>
      <x:c r="M8" s="62"/>
    </x:row>
    <x:row r="9" ht="23" customHeight="1">
      <x:c r="A9" s="1"/>
      <x:c r="B9" s="1"/>
      <x:c r="C9" s="2" t="str">
        <x:v>Σταθμισμένος μέσος όρος κοινών μετοχών</x:v>
      </x:c>
      <x:c r="D9" s="48"/>
      <x:c r="E9" s="48"/>
      <x:c r="F9" s="48"/>
      <x:c r="G9" s="48"/>
      <x:c r="H9" s="48"/>
      <x:c r="I9" s="48"/>
      <x:c r="J9" s="2"/>
      <x:c r="K9" s="2" t="str">
        <x:v>Για βασικά κέρδη ανά μετοχή, χωριστά από πλήθος τέλους.</x:v>
      </x:c>
      <x:c r="L9" s="62"/>
      <x:c r="M9" s="62"/>
    </x:row>
    <x:row r="10" ht="23" customHeight="1">
      <x:c r="A10" s="1"/>
      <x:c r="B10" s="1"/>
      <x:c r="C10" s="56" t="str">
        <x:v>Δημοσιευμένα βασικά κέρδη ανά μετοχή</x:v>
      </x:c>
      <x:c r="D10" s="68"/>
      <x:c r="E10" s="68"/>
      <x:c r="F10" s="68"/>
      <x:c r="G10" s="68"/>
      <x:c r="H10" s="68"/>
      <x:c r="I10" s="68"/>
      <x:c r="J10" s="2"/>
      <x:c r="K10" s="2" t="str">
        <x:v>Συνεπής προσαρμογή για διάσπαση μετοχών.</x:v>
      </x:c>
      <x:c r="L10" s="62"/>
      <x:c r="M10" s="62"/>
    </x:row>
    <x:row r="11" ht="23" customHeight="1">
      <x:c r="A11" s="1"/>
      <x:c r="B11" s="1"/>
      <x:c r="C11" s="56" t="str">
        <x:v>Απομειωμένα κέρδη ανά μετοχή</x:v>
      </x:c>
      <x:c r="D11" s="68"/>
      <x:c r="E11" s="68"/>
      <x:c r="F11" s="68"/>
      <x:c r="G11" s="68"/>
      <x:c r="H11" s="68"/>
      <x:c r="I11" s="68"/>
      <x:c r="J11" s="2"/>
      <x:c r="K11" s="2" t="str">
        <x:v>Δημοσιευμένο ποσό λόγω ειδικών προσαρμογών αραίωσης.</x:v>
      </x:c>
      <x:c r="L11" s="62"/>
      <x:c r="M11" s="62"/>
    </x:row>
    <x:row r="12" ht="23" customHeight="1">
      <x:c r="A12" s="1"/>
      <x:c r="B12" s="1"/>
      <x:c r="C12" s="2" t="str">
        <x:v>Μέρισμα ανά κοινή μετοχή για τη χρήση</x:v>
      </x:c>
      <x:c r="D12" s="50"/>
      <x:c r="E12" s="50"/>
      <x:c r="F12" s="50"/>
      <x:c r="G12" s="50"/>
      <x:c r="H12" s="50"/>
      <x:c r="I12" s="50"/>
      <x:c r="J12" s="2"/>
      <x:c r="K12" s="2" t="str">
        <x:v>Μέρισμα χρήσης, όχι κατ’ ανάγκη πληρωμένο την ίδια χρήση.</x:v>
      </x:c>
      <x:c r="L12" s="62"/>
      <x:c r="M12" s="62"/>
    </x:row>
    <x:row r="13" ht="23" customHeight="1">
      <x:c r="A13" s="1"/>
      <x:c r="B13" s="1"/>
      <x:c r="C13" s="2" t="str">
        <x:v>Ταμειακό μέρισμα ανά μετοχή εντός περιόδου</x:v>
      </x:c>
      <x:c r="D13" s="50"/>
      <x:c r="E13" s="50"/>
      <x:c r="F13" s="50"/>
      <x:c r="G13" s="50"/>
      <x:c r="H13" s="50"/>
      <x:c r="I13" s="50"/>
      <x:c r="J13" s="2"/>
      <x:c r="K13" s="2" t="str">
        <x:v>Για συνολική απόδοση τιμής και μερίσματος.</x:v>
      </x:c>
      <x:c r="L13" s="62"/>
      <x:c r="M13" s="62"/>
    </x:row>
    <x:row r="14" ht="23" customHeight="1">
      <x:c r="A14" s="1"/>
      <x:c r="B14" s="1"/>
      <x:c r="C14" s="2" t="str">
        <x:v>Κοινά μερίσματα που αφορούν τη χρήση</x:v>
      </x:c>
      <x:c r="D14" s="48"/>
      <x:c r="E14" s="48"/>
      <x:c r="F14" s="48"/>
      <x:c r="G14" s="48"/>
      <x:c r="H14" s="48"/>
      <x:c r="I14" s="48"/>
      <x:c r="J14" s="2"/>
      <x:c r="K14" s="2" t="str">
        <x:v>Νομισματική μονάδα Ρυθμίσεων, για ποσοστό διανομής.</x:v>
      </x:c>
      <x:c r="L14" s="62"/>
      <x:c r="M14" s="62"/>
    </x:row>
    <x:row r="15" ht="23" customHeight="1">
      <x:c r="A15" s="1"/>
      <x:c r="B15" s="1"/>
      <x:c r="C15" s="2" t="str">
        <x:v>Αγοραία αξία προνομιούχων κεφαλαίων</x:v>
      </x:c>
      <x:c r="D15" s="48"/>
      <x:c r="E15" s="48"/>
      <x:c r="F15" s="48"/>
      <x:c r="G15" s="48"/>
      <x:c r="H15" s="48"/>
      <x:c r="I15" s="48"/>
      <x:c r="J15" s="2"/>
      <x:c r="K15" s="2" t="str">
        <x:v>Μηδέν εάν δεν υπάρχουν.</x:v>
      </x:c>
      <x:c r="L15" s="62"/>
      <x:c r="M15" s="62"/>
    </x:row>
    <x:row r="16" ht="23" customHeight="1">
      <x:c r="A16" s="1"/>
      <x:c r="B16" s="1"/>
      <x:c r="C16" s="2" t="str">
        <x:v>Αξία μη ελεγχουσών συμμετοχών για EV</x:v>
      </x:c>
      <x:c r="D16" s="48"/>
      <x:c r="E16" s="48"/>
      <x:c r="F16" s="48"/>
      <x:c r="G16" s="48"/>
      <x:c r="H16" s="48"/>
      <x:c r="I16" s="48"/>
      <x:c r="J16" s="2"/>
      <x:c r="K16" s="2" t="str">
        <x:v>Αν χρησιμοποιείται λογιστική αξία, τεκμηριώστε το.</x:v>
      </x:c>
      <x:c r="L16" s="62"/>
      <x:c r="M16" s="62"/>
    </x:row>
    <x:row r="17" ht="23" customHeight="1">
      <x:c r="A17" s="1"/>
      <x:c r="B17" s="1"/>
      <x:c r="C17" s="20" t="str">
        <x:v>Κανονικοποιημένος λειτουργικός φορολογικός συντελεστής</x:v>
      </x:c>
      <x:c r="D17" s="70"/>
      <x:c r="E17" s="70"/>
      <x:c r="F17" s="70"/>
      <x:c r="G17" s="70"/>
      <x:c r="H17" s="70"/>
      <x:c r="I17" s="70"/>
      <x:c r="J17" s="2"/>
      <x:c r="K17" s="2" t="str">
        <x:v>Εκτίμηση για NOPAT, από 0% έως 100%.</x:v>
      </x:c>
      <x:c r="L17" s="62"/>
      <x:c r="M17" s="62"/>
    </x:row>
    <x:row r="18" ht="23" customHeight="1">
      <x:c r="A18" s="1"/>
      <x:c r="B18" s="1"/>
      <x:c r="C18" s="20" t="str">
        <x:v>Σταθμισμένο κόστος κεφαλαίου, προαιρετικά</x:v>
      </x:c>
      <x:c r="D18" s="70"/>
      <x:c r="E18" s="70"/>
      <x:c r="F18" s="70"/>
      <x:c r="G18" s="70"/>
      <x:c r="H18" s="70"/>
      <x:c r="I18" s="70"/>
      <x:c r="J18" s="2"/>
      <x:c r="K18" s="2" t="str">
        <x:v>Για διαφορά ROIC και οικονομικό κέρδος.</x:v>
      </x:c>
      <x:c r="L18" s="62"/>
      <x:c r="M18" s="62"/>
    </x:row>
    <x:row r="19" ht="23" customHeight="1">
      <x:c r="A19" s="1"/>
      <x:c r="B19" s="1"/>
      <x:c r="C19" s="20" t="str">
        <x:v>Απόδοση συγκρίσιμου ομολόγου υψηλής διαβάθμισης</x:v>
      </x:c>
      <x:c r="D19" s="70"/>
      <x:c r="E19" s="70"/>
      <x:c r="F19" s="70"/>
      <x:c r="G19" s="70"/>
      <x:c r="H19" s="70"/>
      <x:c r="I19" s="70"/>
      <x:c r="J19" s="2"/>
      <x:c r="K19" s="2" t="str">
        <x:v>Ίδιο νόμισμα και ημερομηνία αποτίμησης.</x:v>
      </x:c>
      <x:c r="L19" s="62"/>
      <x:c r="M19" s="62"/>
    </x:row>
    <x:row r="20" ht="23" customHeight="1">
      <x:c r="A20" s="1"/>
      <x:c r="B20" s="1"/>
      <x:c r="C20" s="2" t="str">
        <x:v>Ελάχιστη ετήσια τιμή μετοχής</x:v>
      </x:c>
      <x:c r="D20" s="50"/>
      <x:c r="E20" s="50"/>
      <x:c r="F20" s="50"/>
      <x:c r="G20" s="50"/>
      <x:c r="H20" s="50"/>
      <x:c r="I20" s="50"/>
      <x:c r="J20" s="2"/>
      <x:c r="K20" s="2"/>
      <x:c r="L20" s="62"/>
      <x:c r="M20" s="62"/>
    </x:row>
    <x:row r="21" ht="23" customHeight="1">
      <x:c r="A21" s="1"/>
      <x:c r="B21" s="1"/>
      <x:c r="C21" s="2" t="str">
        <x:v>Μέγιστη ετήσια τιμή μετοχής</x:v>
      </x:c>
      <x:c r="D21" s="50"/>
      <x:c r="E21" s="50"/>
      <x:c r="F21" s="50"/>
      <x:c r="G21" s="50"/>
      <x:c r="H21" s="50"/>
      <x:c r="I21" s="50"/>
      <x:c r="J21" s="2"/>
      <x:c r="K21" s="2"/>
      <x:c r="L21" s="62"/>
      <x:c r="M21" s="62"/>
    </x:row>
    <x:row r="22" ht="23" customHeight="1">
      <x:c r="A22" s="1"/>
      <x:c r="B22" s="1"/>
      <x:c r="C22" s="2" t="str">
        <x:v>Τιμή δείκτη αναφοράς</x:v>
      </x:c>
      <x:c r="D22" s="50"/>
      <x:c r="E22" s="50"/>
      <x:c r="F22" s="50"/>
      <x:c r="G22" s="50"/>
      <x:c r="H22" s="50"/>
      <x:c r="I22" s="50"/>
      <x:c r="J22" s="2"/>
      <x:c r="K22" s="2" t="str">
        <x:v>Δείκτης απόδοσης τιμής, χωρίς μερίσματα.</x:v>
      </x:c>
      <x:c r="L22" s="62"/>
      <x:c r="M22" s="62"/>
    </x:row>
    <x:row r="23" ht="23" customHeight="1">
      <x:c r="A23" s="1"/>
      <x:c r="B23" s="1"/>
      <x:c r="C23" s="2" t="str">
        <x:v>Τιμή δείκτη τιμών παραγωγού ή χονδρικής</x:v>
      </x:c>
      <x:c r="D23" s="50"/>
      <x:c r="E23" s="50"/>
      <x:c r="F23" s="50"/>
      <x:c r="G23" s="50"/>
      <x:c r="H23" s="50"/>
      <x:c r="I23" s="50"/>
      <x:c r="J23" s="2"/>
      <x:c r="K23" s="2" t="str">
        <x:v>Πλαίσιο πληθωρισμού, όχι τιμή μετοχής.</x:v>
      </x:c>
      <x:c r="L23" s="62"/>
      <x:c r="M23" s="62"/>
    </x:row>
    <x:row r="24" ht="23" customHeight="1">
      <x:c r="A24" s="1"/>
      <x:c r="B24" s="1"/>
      <x:c r="C24" s="20" t="str">
        <x:v>Επιλεγμένος εύλογος πολλαπλασιαστής P/E</x:v>
      </x:c>
      <x:c r="D24" s="72"/>
      <x:c r="E24" s="72"/>
      <x:c r="F24" s="72"/>
      <x:c r="G24" s="72"/>
      <x:c r="H24" s="72"/>
      <x:c r="I24" s="72"/>
      <x:c r="J24" s="2"/>
      <x:c r="K24" s="2" t="str">
        <x:v>Τεκμηριώστε με συγκρίσιμες εταιρείες ή ιστορικά στοιχεία.</x:v>
      </x:c>
      <x:c r="L24" s="62"/>
      <x:c r="M24" s="62"/>
    </x:row>
    <x:row r="25" ht="23" customHeight="1">
      <x:c r="A25" s="1"/>
      <x:c r="B25" s="1"/>
      <x:c r="C25" s="20" t="str">
        <x:v>Επιλεγμένος εύλογος πολλαπλασιαστής P/B</x:v>
      </x:c>
      <x:c r="D25" s="72"/>
      <x:c r="E25" s="72"/>
      <x:c r="F25" s="72"/>
      <x:c r="G25" s="72"/>
      <x:c r="H25" s="72"/>
      <x:c r="I25" s="72"/>
      <x:c r="J25" s="2"/>
      <x:c r="K25" s="2"/>
      <x:c r="L25" s="62"/>
      <x:c r="M25" s="62"/>
    </x:row>
    <x:row r="26" ht="23" customHeight="1">
      <x:c r="A26" s="1"/>
      <x:c r="B26" s="1"/>
      <x:c r="C26" s="20" t="str">
        <x:v>Επιλεγμένος εύλογος EV/EBITDA</x:v>
      </x:c>
      <x:c r="D26" s="72"/>
      <x:c r="E26" s="72"/>
      <x:c r="F26" s="72"/>
      <x:c r="G26" s="72"/>
      <x:c r="H26" s="72"/>
      <x:c r="I26" s="72"/>
      <x:c r="J26" s="2"/>
      <x:c r="K26" s="2"/>
      <x:c r="L26" s="62"/>
      <x:c r="M26" s="62"/>
    </x:row>
    <x:row r="27" ht="23" customHeight="1">
      <x:c r="A27" s="1"/>
      <x:c r="B27" s="1"/>
      <x:c r="C27" s="20" t="str">
        <x:v>Απαιτούμενο περιθώριο ασφαλείας</x:v>
      </x:c>
      <x:c r="D27" s="70"/>
      <x:c r="E27" s="70"/>
      <x:c r="F27" s="70"/>
      <x:c r="G27" s="70"/>
      <x:c r="H27" s="70"/>
      <x:c r="I27" s="70"/>
      <x:c r="J27" s="2"/>
      <x:c r="K27" s="2" t="str">
        <x:v>Παραδοχή αναλυτή, από 0% έως 100%.</x:v>
      </x:c>
      <x:c r="L27" s="62"/>
      <x:c r="M27" s="6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62"/>
      <x:c r="M28" s="62"/>
    </x:row>
    <x:row r="29" ht="23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62"/>
      <x:c r="M29" s="62"/>
    </x:row>
    <x:row r="30" ht="23" customHeight="1">
      <x:c r="A30" s="1"/>
      <x:c r="B30" s="1"/>
      <x:c r="C30" s="2"/>
      <x:c r="D30" s="2"/>
      <x:c r="E30" s="2"/>
      <x:c r="F30" s="2"/>
      <x:c r="G30" s="2"/>
      <x:c r="H30" s="2"/>
      <x:c r="I30" s="2"/>
      <x:c r="J30" s="2"/>
      <x:c r="K30" s="2"/>
      <x:c r="L30" s="62"/>
      <x:c r="M30" s="62"/>
    </x:row>
    <x:row r="32">
      <x:c r="C32" t="str">
        <x:v>Τίτλος ετήσιας έκθεσης / χρήση</x:v>
      </x:c>
      <x:c r="D32" s="64"/>
      <x:c r="E32" s="64"/>
      <x:c r="F32" s="64"/>
      <x:c r="G32" s="64"/>
      <x:c r="H32" s="64"/>
      <x:c r="I32" s="64"/>
    </x:row>
    <x:row r="33">
      <x:c r="C33" t="str">
        <x:v>Σύνδεσμος έκθεσης</x:v>
      </x:c>
      <x:c r="D33" s="64"/>
      <x:c r="E33" s="64"/>
      <x:c r="F33" s="64"/>
      <x:c r="G33" s="64"/>
      <x:c r="H33" s="64"/>
      <x:c r="I33" s="64"/>
    </x:row>
    <x:row r="34">
      <x:c r="C34" t="str">
        <x:v>Σελίδα κατάστασης / σημείωση</x:v>
      </x:c>
      <x:c r="D34" s="64"/>
      <x:c r="E34" s="64"/>
      <x:c r="F34" s="64"/>
      <x:c r="G34" s="64"/>
      <x:c r="H34" s="64"/>
      <x:c r="I34" s="64"/>
    </x:row>
    <x:row r="35">
      <x:c r="C35" t="str">
        <x:v>Ημερομηνία αναφοράς</x:v>
      </x:c>
      <x:c r="D35" s="64"/>
      <x:c r="E35" s="64"/>
      <x:c r="F35" s="64"/>
      <x:c r="G35" s="64"/>
      <x:c r="H35" s="64"/>
      <x:c r="I35" s="64"/>
    </x:row>
    <x:row r="36">
      <x:c r="C36" t="str">
        <x:v>Αναμορφώσεις / αναταξινομήσεις</x:v>
      </x:c>
      <x:c r="D36" s="64"/>
      <x:c r="E36" s="64"/>
      <x:c r="F36" s="64"/>
      <x:c r="G36" s="64"/>
      <x:c r="H36" s="64"/>
      <x:c r="I36" s="64"/>
    </x:row>
  </x:sheetData>
  <x:dataValidations count="2">
    <x:dataValidation type="decimal" operator="between" sqref="D17:I17">
      <x:formula1>0</x:formula1>
      <x:formula2>1</x:formula2>
    </x:dataValidation>
    <x:dataValidation type="decimal" operator="between" sqref="D27:I27">
      <x:formula1>0</x:formula1>
      <x:formula2>1</x:formula2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Έλεγχοι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Οι διαφορές πρέπει να είναι εντός της ανοχής των Ρυθμίσεων.</x:v>
      </x:c>
      <x:c r="D3" s="2"/>
      <x:c r="E3" s="2"/>
      <x:c r="F3" s="2"/>
      <x:c r="G3" s="2"/>
      <x:c r="H3" s="2"/>
      <x:c r="I3" s="2"/>
      <x:c r="J3" s="2"/>
      <x:c r="K3" s="2" t="str">
        <x:f>"Νόμισμα: "&amp;'Ρυθμίσεις'!E9&amp;"   Νομισματική κλίμακα: "&amp;'Ρυθμίσεις'!E10&amp;"   Κλίμακα μετοχών: "&amp;'Ρυθμίσεις'!E11</x:f>
        <x:v>Νόμισμα: EUR   Νομισματική κλίμακα: 1000000   Κλίμακα μετοχών: 1000000</x:v>
      </x:c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1"/>
      <x:c r="B5" s="1"/>
      <x:c r="C5" s="10" t="str">
        <x:v>Μέγεθος</x:v>
      </x:c>
      <x:c r="D5" s="12" t="n">
        <x:f>'Ρυθμίσεις'!$E$12-5</x:f>
        <x:v>2020</x:v>
      </x:c>
      <x:c r="E5" s="12" t="n">
        <x:f>'Ρυθμίσεις'!$E$12-4</x:f>
        <x:v>2021</x:v>
      </x:c>
      <x:c r="F5" s="12" t="n">
        <x:f>'Ρυθμίσεις'!$E$12-3</x:f>
        <x:v>2022</x:v>
      </x:c>
      <x:c r="G5" s="12" t="n">
        <x:f>'Ρυθμίσεις'!$E$12-2</x:f>
        <x:v>2023</x:v>
      </x:c>
      <x:c r="H5" s="12" t="n">
        <x:f>'Ρυθμίσεις'!$E$12-1</x:f>
        <x:v>2024</x:v>
      </x:c>
      <x:c r="I5" s="12" t="n">
        <x:f>'Ρυθμίσεις'!$E$12-0</x:f>
        <x:v>2025</x:v>
      </x:c>
      <x:c r="J5" s="2"/>
      <x:c r="K5" s="2" t="str">
        <x:v>n.a. σημαίνει μη ελεγμένο, όχι επιτυχές μηδέν. Οι αναλυτικοί έλεγχοι απαιτούν όλα τα στοιχεία.</x:v>
      </x:c>
      <x:c r="L5" s="2"/>
      <x:c r="M5" s="2"/>
    </x:row>
    <x:row r="6" ht="23" customHeight="1">
      <x:c r="A6" s="1"/>
      <x:c r="B6" s="1"/>
      <x:c r="C6" s="2"/>
      <x:c r="D6" s="13" t="str">
        <x:v>Αρχή / προηγ.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Ενεργητικό μείον υποχρεώσεις και ίδια κεφάλαια</x:v>
      </x:c>
      <x:c r="D7" s="74"/>
      <x:c r="E7" s="75" t="str">
        <x:f>IF(COUNT('Ισολογισμός'!E29,'Ισολογισμός'!E45,'Ισολογισμός'!E52)&lt;3,"n.a.",IF(TRUE,'Ισολογισμός'!E29-'Ισολογισμός'!E45-'Ισολογισμός'!E52,"n.a."))</x:f>
        <x:v>n.a.</x:v>
      </x:c>
      <x:c r="F7" s="75" t="str">
        <x:f>IF(COUNT('Ισολογισμός'!F29,'Ισολογισμός'!F45,'Ισολογισμός'!F52)&lt;3,"n.a.",IF(TRUE,'Ισολογισμός'!F29-'Ισολογισμός'!F45-'Ισολογισμός'!F52,"n.a."))</x:f>
        <x:v>n.a.</x:v>
      </x:c>
      <x:c r="G7" s="75" t="str">
        <x:f>IF(COUNT('Ισολογισμός'!G29,'Ισολογισμός'!G45,'Ισολογισμός'!G52)&lt;3,"n.a.",IF(TRUE,'Ισολογισμός'!G29-'Ισολογισμός'!G45-'Ισολογισμός'!G52,"n.a."))</x:f>
        <x:v>n.a.</x:v>
      </x:c>
      <x:c r="H7" s="75" t="str">
        <x:f>IF(COUNT('Ισολογισμός'!H29,'Ισολογισμός'!H45,'Ισολογισμός'!H52)&lt;3,"n.a.",IF(TRUE,'Ισολογισμός'!H29-'Ισολογισμός'!H45-'Ισολογισμός'!H52,"n.a."))</x:f>
        <x:v>n.a.</x:v>
      </x:c>
      <x:c r="I7" s="75" t="str">
        <x:f>IF(COUNT('Ισολογισμός'!I29,'Ισολογισμός'!I45,'Ισολογισμός'!I52)&lt;3,"n.a.",IF(TRUE,'Ισολογισμός'!I29-'Ισολογισμός'!I45-'Ισολογισμός'!I52,"n.a."))</x:f>
        <x:v>n.a.</x:v>
      </x:c>
      <x:c r="J7" s="2"/>
      <x:c r="K7" s="2"/>
      <x:c r="L7" s="2"/>
      <x:c r="M7" s="2"/>
    </x:row>
    <x:row r="8" ht="23" customHeight="1">
      <x:c r="A8" s="1"/>
      <x:c r="B8" s="1"/>
      <x:c r="C8" s="2" t="str">
        <x:v>Ενεργητικό μείον κυκλοφορούν και μη κυκλοφορούν</x:v>
      </x:c>
      <x:c r="D8" s="74"/>
      <x:c r="E8" s="76" t="str">
        <x:f>IF(COUNT('Ισολογισμός'!E29,'Ισολογισμός'!E17,'Ισολογισμός'!E28)&lt;3,"n.a.",IF(TRUE,'Ισολογισμός'!E29-'Ισολογισμός'!E17-'Ισολογισμός'!E28,"n.a."))</x:f>
        <x:v>n.a.</x:v>
      </x:c>
      <x:c r="F8" s="76" t="str">
        <x:f>IF(COUNT('Ισολογισμός'!F29,'Ισολογισμός'!F17,'Ισολογισμός'!F28)&lt;3,"n.a.",IF(TRUE,'Ισολογισμός'!F29-'Ισολογισμός'!F17-'Ισολογισμός'!F28,"n.a."))</x:f>
        <x:v>n.a.</x:v>
      </x:c>
      <x:c r="G8" s="76" t="str">
        <x:f>IF(COUNT('Ισολογισμός'!G29,'Ισολογισμός'!G17,'Ισολογισμός'!G28)&lt;3,"n.a.",IF(TRUE,'Ισολογισμός'!G29-'Ισολογισμός'!G17-'Ισολογισμός'!G28,"n.a."))</x:f>
        <x:v>n.a.</x:v>
      </x:c>
      <x:c r="H8" s="76" t="str">
        <x:f>IF(COUNT('Ισολογισμός'!H29,'Ισολογισμός'!H17,'Ισολογισμός'!H28)&lt;3,"n.a.",IF(TRUE,'Ισολογισμός'!H29-'Ισολογισμός'!H17-'Ισολογισμός'!H28,"n.a."))</x:f>
        <x:v>n.a.</x:v>
      </x:c>
      <x:c r="I8" s="76" t="str">
        <x:f>IF(COUNT('Ισολογισμός'!I29,'Ισολογισμός'!I17,'Ισολογισμός'!I28)&lt;3,"n.a.",IF(TRUE,'Ισολογισμός'!I29-'Ισολογισμός'!I17-'Ισολογισμός'!I28,"n.a."))</x:f>
        <x:v>n.a.</x:v>
      </x:c>
      <x:c r="J8" s="2"/>
      <x:c r="K8" s="2"/>
      <x:c r="L8" s="2"/>
      <x:c r="M8" s="2"/>
    </x:row>
    <x:row r="9" ht="23" customHeight="1">
      <x:c r="A9" s="1"/>
      <x:c r="B9" s="1"/>
      <x:c r="C9" s="2" t="str">
        <x:v>Υποχρεώσεις μείον βραχυπρόθεσμες και μακροπρόθεσμες</x:v>
      </x:c>
      <x:c r="D9" s="74"/>
      <x:c r="E9" s="75" t="str">
        <x:f>IF(COUNT('Ισολογισμός'!E45,'Ισολογισμός'!E37,'Ισολογισμός'!E44)&lt;3,"n.a.",IF(TRUE,'Ισολογισμός'!E45-'Ισολογισμός'!E37-'Ισολογισμός'!E44,"n.a."))</x:f>
        <x:v>n.a.</x:v>
      </x:c>
      <x:c r="F9" s="75" t="str">
        <x:f>IF(COUNT('Ισολογισμός'!F45,'Ισολογισμός'!F37,'Ισολογισμός'!F44)&lt;3,"n.a.",IF(TRUE,'Ισολογισμός'!F45-'Ισολογισμός'!F37-'Ισολογισμός'!F44,"n.a."))</x:f>
        <x:v>n.a.</x:v>
      </x:c>
      <x:c r="G9" s="75" t="str">
        <x:f>IF(COUNT('Ισολογισμός'!G45,'Ισολογισμός'!G37,'Ισολογισμός'!G44)&lt;3,"n.a.",IF(TRUE,'Ισολογισμός'!G45-'Ισολογισμός'!G37-'Ισολογισμός'!G44,"n.a."))</x:f>
        <x:v>n.a.</x:v>
      </x:c>
      <x:c r="H9" s="75" t="str">
        <x:f>IF(COUNT('Ισολογισμός'!H45,'Ισολογισμός'!H37,'Ισολογισμός'!H44)&lt;3,"n.a.",IF(TRUE,'Ισολογισμός'!H45-'Ισολογισμός'!H37-'Ισολογισμός'!H44,"n.a."))</x:f>
        <x:v>n.a.</x:v>
      </x:c>
      <x:c r="I9" s="75" t="str">
        <x:f>IF(COUNT('Ισολογισμός'!I45,'Ισολογισμός'!I37,'Ισολογισμός'!I44)&lt;3,"n.a.",IF(TRUE,'Ισολογισμός'!I45-'Ισολογισμός'!I37-'Ισολογισμός'!I44,"n.a."))</x:f>
        <x:v>n.a.</x:v>
      </x:c>
      <x:c r="J9" s="2"/>
      <x:c r="K9" s="2"/>
      <x:c r="L9" s="2"/>
      <x:c r="M9" s="2"/>
    </x:row>
    <x:row r="10" ht="23" customHeight="1">
      <x:c r="A10" s="1"/>
      <x:c r="B10" s="1"/>
      <x:c r="C10" s="2" t="str">
        <x:v>Σύνολο ιδίων μείον μητρική και μειοψηφία</x:v>
      </x:c>
      <x:c r="D10" s="74"/>
      <x:c r="E10" s="76" t="str">
        <x:f>IF(COUNT('Ισολογισμός'!E52,'Ισολογισμός'!E50,'Ισολογισμός'!E51)&lt;3,"n.a.",IF(TRUE,'Ισολογισμός'!E52-'Ισολογισμός'!E50-'Ισολογισμός'!E51,"n.a."))</x:f>
        <x:v>n.a.</x:v>
      </x:c>
      <x:c r="F10" s="76" t="str">
        <x:f>IF(COUNT('Ισολογισμός'!F52,'Ισολογισμός'!F50,'Ισολογισμός'!F51)&lt;3,"n.a.",IF(TRUE,'Ισολογισμός'!F52-'Ισολογισμός'!F50-'Ισολογισμός'!F51,"n.a."))</x:f>
        <x:v>n.a.</x:v>
      </x:c>
      <x:c r="G10" s="76" t="str">
        <x:f>IF(COUNT('Ισολογισμός'!G52,'Ισολογισμός'!G50,'Ισολογισμός'!G51)&lt;3,"n.a.",IF(TRUE,'Ισολογισμός'!G52-'Ισολογισμός'!G50-'Ισολογισμός'!G51,"n.a."))</x:f>
        <x:v>n.a.</x:v>
      </x:c>
      <x:c r="H10" s="76" t="str">
        <x:f>IF(COUNT('Ισολογισμός'!H52,'Ισολογισμός'!H50,'Ισολογισμός'!H51)&lt;3,"n.a.",IF(TRUE,'Ισολογισμός'!H52-'Ισολογισμός'!H50-'Ισολογισμός'!H51,"n.a."))</x:f>
        <x:v>n.a.</x:v>
      </x:c>
      <x:c r="I10" s="76" t="str">
        <x:f>IF(COUNT('Ισολογισμός'!I52,'Ισολογισμός'!I50,'Ισολογισμός'!I51)&lt;3,"n.a.",IF(TRUE,'Ισολογισμός'!I52-'Ισολογισμός'!I50-'Ισολογισμός'!I51,"n.a."))</x:f>
        <x:v>n.a.</x:v>
      </x:c>
      <x:c r="J10" s="2"/>
      <x:c r="K10" s="2"/>
      <x:c r="L10" s="2"/>
      <x:c r="M10" s="2"/>
    </x:row>
    <x:row r="11" ht="23" customHeight="1">
      <x:c r="A11" s="1"/>
      <x:c r="B11" s="1"/>
      <x:c r="C11" s="2" t="str">
        <x:v>Κυκλοφορούν ενεργητικό μείον άθροισμα στοιχείων</x:v>
      </x:c>
      <x:c r="D11" s="74"/>
      <x:c r="E11" s="75" t="str">
        <x:f>IF(COUNT('Ισολογισμός'!E17,'Ισολογισμός'!E8,'Ισολογισμός'!E9,'Ισολογισμός'!E10,'Ισολογισμός'!E11,'Ισολογισμός'!E12,'Ισολογισμός'!E13,'Ισολογισμός'!E14,'Ισολογισμός'!E15,'Ισολογισμός'!E16)&lt;10,"n.a.",IF(TRUE,'Ισολογισμός'!E17-'Ισολογισμός'!E8-'Ισολογισμός'!E9-'Ισολογισμός'!E10-'Ισολογισμός'!E11-'Ισολογισμός'!E12-'Ισολογισμός'!E13-'Ισολογισμός'!E14-'Ισολογισμός'!E15-'Ισολογισμός'!E16,"n.a."))</x:f>
        <x:v>n.a.</x:v>
      </x:c>
      <x:c r="F11" s="75" t="str">
        <x:f>IF(COUNT('Ισολογισμός'!F17,'Ισολογισμός'!F8,'Ισολογισμός'!F9,'Ισολογισμός'!F10,'Ισολογισμός'!F11,'Ισολογισμός'!F12,'Ισολογισμός'!F13,'Ισολογισμός'!F14,'Ισολογισμός'!F15,'Ισολογισμός'!F16)&lt;10,"n.a.",IF(TRUE,'Ισολογισμός'!F17-'Ισολογισμός'!F8-'Ισολογισμός'!F9-'Ισολογισμός'!F10-'Ισολογισμός'!F11-'Ισολογισμός'!F12-'Ισολογισμός'!F13-'Ισολογισμός'!F14-'Ισολογισμός'!F15-'Ισολογισμός'!F16,"n.a."))</x:f>
        <x:v>n.a.</x:v>
      </x:c>
      <x:c r="G11" s="75" t="str">
        <x:f>IF(COUNT('Ισολογισμός'!G17,'Ισολογισμός'!G8,'Ισολογισμός'!G9,'Ισολογισμός'!G10,'Ισολογισμός'!G11,'Ισολογισμός'!G12,'Ισολογισμός'!G13,'Ισολογισμός'!G14,'Ισολογισμός'!G15,'Ισολογισμός'!G16)&lt;10,"n.a.",IF(TRUE,'Ισολογισμός'!G17-'Ισολογισμός'!G8-'Ισολογισμός'!G9-'Ισολογισμός'!G10-'Ισολογισμός'!G11-'Ισολογισμός'!G12-'Ισολογισμός'!G13-'Ισολογισμός'!G14-'Ισολογισμός'!G15-'Ισολογισμός'!G16,"n.a."))</x:f>
        <x:v>n.a.</x:v>
      </x:c>
      <x:c r="H11" s="75" t="str">
        <x:f>IF(COUNT('Ισολογισμός'!H17,'Ισολογισμός'!H8,'Ισολογισμός'!H9,'Ισολογισμός'!H10,'Ισολογισμός'!H11,'Ισολογισμός'!H12,'Ισολογισμός'!H13,'Ισολογισμός'!H14,'Ισολογισμός'!H15,'Ισολογισμός'!H16)&lt;10,"n.a.",IF(TRUE,'Ισολογισμός'!H17-'Ισολογισμός'!H8-'Ισολογισμός'!H9-'Ισολογισμός'!H10-'Ισολογισμός'!H11-'Ισολογισμός'!H12-'Ισολογισμός'!H13-'Ισολογισμός'!H14-'Ισολογισμός'!H15-'Ισολογισμός'!H16,"n.a."))</x:f>
        <x:v>n.a.</x:v>
      </x:c>
      <x:c r="I11" s="75" t="str">
        <x:f>IF(COUNT('Ισολογισμός'!I17,'Ισολογισμός'!I8,'Ισολογισμός'!I9,'Ισολογισμός'!I10,'Ισολογισμός'!I11,'Ισολογισμός'!I12,'Ισολογισμός'!I13,'Ισολογισμός'!I14,'Ισολογισμός'!I15,'Ισολογισμός'!I16)&lt;10,"n.a.",IF(TRUE,'Ισολογισμός'!I17-'Ισολογισμός'!I8-'Ισολογισμός'!I9-'Ισολογισμός'!I10-'Ισολογισμός'!I11-'Ισολογισμός'!I12-'Ισολογισμός'!I13-'Ισολογισμός'!I14-'Ισολογισμός'!I15-'Ισολογισμός'!I16,"n.a."))</x:f>
        <x:v>n.a.</x:v>
      </x:c>
      <x:c r="J11" s="2"/>
      <x:c r="K11" s="2"/>
      <x:c r="L11" s="2"/>
      <x:c r="M11" s="2"/>
    </x:row>
    <x:row r="12" ht="23" customHeight="1">
      <x:c r="A12" s="1"/>
      <x:c r="B12" s="1"/>
      <x:c r="C12" s="2" t="str">
        <x:v>Μη κυκλοφορούν ενεργητικό μείον άθροισμα στοιχείων</x:v>
      </x:c>
      <x:c r="D12" s="74"/>
      <x:c r="E12" s="76" t="str">
        <x:f>IF(COUNT('Ισολογισμός'!E28,'Ισολογισμός'!E19,'Ισολογισμός'!E20,'Ισολογισμός'!E21,'Ισολογισμός'!E22,'Ισολογισμός'!E23,'Ισολογισμός'!E24,'Ισολογισμός'!E25,'Ισολογισμός'!E26,'Ισολογισμός'!E27)&lt;10,"n.a.",IF(TRUE,'Ισολογισμός'!E28-'Ισολογισμός'!E19-'Ισολογισμός'!E20-'Ισολογισμός'!E21-'Ισολογισμός'!E22-'Ισολογισμός'!E23-'Ισολογισμός'!E24-'Ισολογισμός'!E25-'Ισολογισμός'!E26-'Ισολογισμός'!E27,"n.a."))</x:f>
        <x:v>n.a.</x:v>
      </x:c>
      <x:c r="F12" s="76" t="str">
        <x:f>IF(COUNT('Ισολογισμός'!F28,'Ισολογισμός'!F19,'Ισολογισμός'!F20,'Ισολογισμός'!F21,'Ισολογισμός'!F22,'Ισολογισμός'!F23,'Ισολογισμός'!F24,'Ισολογισμός'!F25,'Ισολογισμός'!F26,'Ισολογισμός'!F27)&lt;10,"n.a.",IF(TRUE,'Ισολογισμός'!F28-'Ισολογισμός'!F19-'Ισολογισμός'!F20-'Ισολογισμός'!F21-'Ισολογισμός'!F22-'Ισολογισμός'!F23-'Ισολογισμός'!F24-'Ισολογισμός'!F25-'Ισολογισμός'!F26-'Ισολογισμός'!F27,"n.a."))</x:f>
        <x:v>n.a.</x:v>
      </x:c>
      <x:c r="G12" s="76" t="str">
        <x:f>IF(COUNT('Ισολογισμός'!G28,'Ισολογισμός'!G19,'Ισολογισμός'!G20,'Ισολογισμός'!G21,'Ισολογισμός'!G22,'Ισολογισμός'!G23,'Ισολογισμός'!G24,'Ισολογισμός'!G25,'Ισολογισμός'!G26,'Ισολογισμός'!G27)&lt;10,"n.a.",IF(TRUE,'Ισολογισμός'!G28-'Ισολογισμός'!G19-'Ισολογισμός'!G20-'Ισολογισμός'!G21-'Ισολογισμός'!G22-'Ισολογισμός'!G23-'Ισολογισμός'!G24-'Ισολογισμός'!G25-'Ισολογισμός'!G26-'Ισολογισμός'!G27,"n.a."))</x:f>
        <x:v>n.a.</x:v>
      </x:c>
      <x:c r="H12" s="76" t="str">
        <x:f>IF(COUNT('Ισολογισμός'!H28,'Ισολογισμός'!H19,'Ισολογισμός'!H20,'Ισολογισμός'!H21,'Ισολογισμός'!H22,'Ισολογισμός'!H23,'Ισολογισμός'!H24,'Ισολογισμός'!H25,'Ισολογισμός'!H26,'Ισολογισμός'!H27)&lt;10,"n.a.",IF(TRUE,'Ισολογισμός'!H28-'Ισολογισμός'!H19-'Ισολογισμός'!H20-'Ισολογισμός'!H21-'Ισολογισμός'!H22-'Ισολογισμός'!H23-'Ισολογισμός'!H24-'Ισολογισμός'!H25-'Ισολογισμός'!H26-'Ισολογισμός'!H27,"n.a."))</x:f>
        <x:v>n.a.</x:v>
      </x:c>
      <x:c r="I12" s="76" t="str">
        <x:f>IF(COUNT('Ισολογισμός'!I28,'Ισολογισμός'!I19,'Ισολογισμός'!I20,'Ισολογισμός'!I21,'Ισολογισμός'!I22,'Ισολογισμός'!I23,'Ισολογισμός'!I24,'Ισολογισμός'!I25,'Ισολογισμός'!I26,'Ισολογισμός'!I27)&lt;10,"n.a.",IF(TRUE,'Ισολογισμός'!I28-'Ισολογισμός'!I19-'Ισολογισμός'!I20-'Ισολογισμός'!I21-'Ισολογισμός'!I22-'Ισολογισμός'!I23-'Ισολογισμός'!I24-'Ισολογισμός'!I25-'Ισολογισμός'!I26-'Ισολογισμός'!I27,"n.a."))</x:f>
        <x:v>n.a.</x:v>
      </x:c>
      <x:c r="J12" s="2"/>
      <x:c r="K12" s="2"/>
      <x:c r="L12" s="2"/>
      <x:c r="M12" s="2"/>
    </x:row>
    <x:row r="13" ht="23" customHeight="1">
      <x:c r="A13" s="1"/>
      <x:c r="B13" s="1"/>
      <x:c r="C13" s="2" t="str">
        <x:v>Βραχυπρόθεσμες υποχρεώσεις μείον στοιχεία</x:v>
      </x:c>
      <x:c r="D13" s="74"/>
      <x:c r="E13" s="75" t="str">
        <x:f>IF(COUNT('Ισολογισμός'!E37,'Ισολογισμός'!E31,'Ισολογισμός'!E32,'Ισολογισμός'!E33,'Ισολογισμός'!E34,'Ισολογισμός'!E35,'Ισολογισμός'!E36)&lt;7,"n.a.",IF(TRUE,'Ισολογισμός'!E37-'Ισολογισμός'!E31-'Ισολογισμός'!E32-'Ισολογισμός'!E33-'Ισολογισμός'!E34-'Ισολογισμός'!E35-'Ισολογισμός'!E36,"n.a."))</x:f>
        <x:v>n.a.</x:v>
      </x:c>
      <x:c r="F13" s="75" t="str">
        <x:f>IF(COUNT('Ισολογισμός'!F37,'Ισολογισμός'!F31,'Ισολογισμός'!F32,'Ισολογισμός'!F33,'Ισολογισμός'!F34,'Ισολογισμός'!F35,'Ισολογισμός'!F36)&lt;7,"n.a.",IF(TRUE,'Ισολογισμός'!F37-'Ισολογισμός'!F31-'Ισολογισμός'!F32-'Ισολογισμός'!F33-'Ισολογισμός'!F34-'Ισολογισμός'!F35-'Ισολογισμός'!F36,"n.a."))</x:f>
        <x:v>n.a.</x:v>
      </x:c>
      <x:c r="G13" s="75" t="str">
        <x:f>IF(COUNT('Ισολογισμός'!G37,'Ισολογισμός'!G31,'Ισολογισμός'!G32,'Ισολογισμός'!G33,'Ισολογισμός'!G34,'Ισολογισμός'!G35,'Ισολογισμός'!G36)&lt;7,"n.a.",IF(TRUE,'Ισολογισμός'!G37-'Ισολογισμός'!G31-'Ισολογισμός'!G32-'Ισολογισμός'!G33-'Ισολογισμός'!G34-'Ισολογισμός'!G35-'Ισολογισμός'!G36,"n.a."))</x:f>
        <x:v>n.a.</x:v>
      </x:c>
      <x:c r="H13" s="75" t="str">
        <x:f>IF(COUNT('Ισολογισμός'!H37,'Ισολογισμός'!H31,'Ισολογισμός'!H32,'Ισολογισμός'!H33,'Ισολογισμός'!H34,'Ισολογισμός'!H35,'Ισολογισμός'!H36)&lt;7,"n.a.",IF(TRUE,'Ισολογισμός'!H37-'Ισολογισμός'!H31-'Ισολογισμός'!H32-'Ισολογισμός'!H33-'Ισολογισμός'!H34-'Ισολογισμός'!H35-'Ισολογισμός'!H36,"n.a."))</x:f>
        <x:v>n.a.</x:v>
      </x:c>
      <x:c r="I13" s="75" t="str">
        <x:f>IF(COUNT('Ισολογισμός'!I37,'Ισολογισμός'!I31,'Ισολογισμός'!I32,'Ισολογισμός'!I33,'Ισολογισμός'!I34,'Ισολογισμός'!I35,'Ισολογισμός'!I36)&lt;7,"n.a.",IF(TRUE,'Ισολογισμός'!I37-'Ισολογισμός'!I31-'Ισολογισμός'!I32-'Ισολογισμός'!I33-'Ισολογισμός'!I34-'Ισολογισμός'!I35-'Ισολογισμός'!I36,"n.a."))</x:f>
        <x:v>n.a.</x:v>
      </x:c>
      <x:c r="J13" s="2"/>
      <x:c r="K13" s="2"/>
      <x:c r="L13" s="2"/>
      <x:c r="M13" s="2"/>
    </x:row>
    <x:row r="14" ht="23" customHeight="1">
      <x:c r="A14" s="1"/>
      <x:c r="B14" s="1"/>
      <x:c r="C14" s="2" t="str">
        <x:v>Μακροπρόθεσμες υποχρεώσεις μείον στοιχεία</x:v>
      </x:c>
      <x:c r="D14" s="74"/>
      <x:c r="E14" s="76" t="str">
        <x:f>IF(COUNT('Ισολογισμός'!E44,'Ισολογισμός'!E39,'Ισολογισμός'!E40,'Ισολογισμός'!E41,'Ισολογισμός'!E42,'Ισολογισμός'!E43)&lt;6,"n.a.",IF(TRUE,'Ισολογισμός'!E44-'Ισολογισμός'!E39-'Ισολογισμός'!E40-'Ισολογισμός'!E41-'Ισολογισμός'!E42-'Ισολογισμός'!E43,"n.a."))</x:f>
        <x:v>n.a.</x:v>
      </x:c>
      <x:c r="F14" s="76" t="str">
        <x:f>IF(COUNT('Ισολογισμός'!F44,'Ισολογισμός'!F39,'Ισολογισμός'!F40,'Ισολογισμός'!F41,'Ισολογισμός'!F42,'Ισολογισμός'!F43)&lt;6,"n.a.",IF(TRUE,'Ισολογισμός'!F44-'Ισολογισμός'!F39-'Ισολογισμός'!F40-'Ισολογισμός'!F41-'Ισολογισμός'!F42-'Ισολογισμός'!F43,"n.a."))</x:f>
        <x:v>n.a.</x:v>
      </x:c>
      <x:c r="G14" s="76" t="str">
        <x:f>IF(COUNT('Ισολογισμός'!G44,'Ισολογισμός'!G39,'Ισολογισμός'!G40,'Ισολογισμός'!G41,'Ισολογισμός'!G42,'Ισολογισμός'!G43)&lt;6,"n.a.",IF(TRUE,'Ισολογισμός'!G44-'Ισολογισμός'!G39-'Ισολογισμός'!G40-'Ισολογισμός'!G41-'Ισολογισμός'!G42-'Ισολογισμός'!G43,"n.a."))</x:f>
        <x:v>n.a.</x:v>
      </x:c>
      <x:c r="H14" s="76" t="str">
        <x:f>IF(COUNT('Ισολογισμός'!H44,'Ισολογισμός'!H39,'Ισολογισμός'!H40,'Ισολογισμός'!H41,'Ισολογισμός'!H42,'Ισολογισμός'!H43)&lt;6,"n.a.",IF(TRUE,'Ισολογισμός'!H44-'Ισολογισμός'!H39-'Ισολογισμός'!H40-'Ισολογισμός'!H41-'Ισολογισμός'!H42-'Ισολογισμός'!H43,"n.a."))</x:f>
        <x:v>n.a.</x:v>
      </x:c>
      <x:c r="I14" s="76" t="str">
        <x:f>IF(COUNT('Ισολογισμός'!I44,'Ισολογισμός'!I39,'Ισολογισμός'!I40,'Ισολογισμός'!I41,'Ισολογισμός'!I42,'Ισολογισμός'!I43)&lt;6,"n.a.",IF(TRUE,'Ισολογισμός'!I44-'Ισολογισμός'!I39-'Ισολογισμός'!I40-'Ισολογισμός'!I41-'Ισολογισμός'!I42-'Ισολογισμός'!I43,"n.a."))</x:f>
        <x:v>n.a.</x:v>
      </x:c>
      <x:c r="J14" s="2"/>
      <x:c r="K14" s="2"/>
      <x:c r="L14" s="2"/>
      <x:c r="M14" s="2"/>
    </x:row>
    <x:row r="15" ht="23" customHeight="1">
      <x:c r="A15" s="1"/>
      <x:c r="B15" s="1"/>
      <x:c r="C15" s="2" t="str">
        <x:v>Μικτό κέρδος μείον πωλήσεις μείον κόστος</x:v>
      </x:c>
      <x:c r="D15" s="74"/>
      <x:c r="E15" s="75" t="str">
        <x:f>IF(COUNT('Αποτελέσματα Χρήσης'!E10,'Αποτελέσματα Χρήσης'!E8,'Αποτελέσματα Χρήσης'!E9)&lt;3,"n.a.",IF(TRUE,'Αποτελέσματα Χρήσης'!E10-('Αποτελέσματα Χρήσης'!E8-'Αποτελέσματα Χρήσης'!E9),"n.a."))</x:f>
        <x:v>n.a.</x:v>
      </x:c>
      <x:c r="F15" s="75" t="str">
        <x:f>IF(COUNT('Αποτελέσματα Χρήσης'!F10,'Αποτελέσματα Χρήσης'!F8,'Αποτελέσματα Χρήσης'!F9)&lt;3,"n.a.",IF(TRUE,'Αποτελέσματα Χρήσης'!F10-('Αποτελέσματα Χρήσης'!F8-'Αποτελέσματα Χρήσης'!F9),"n.a."))</x:f>
        <x:v>n.a.</x:v>
      </x:c>
      <x:c r="G15" s="75" t="str">
        <x:f>IF(COUNT('Αποτελέσματα Χρήσης'!G10,'Αποτελέσματα Χρήσης'!G8,'Αποτελέσματα Χρήσης'!G9)&lt;3,"n.a.",IF(TRUE,'Αποτελέσματα Χρήσης'!G10-('Αποτελέσματα Χρήσης'!G8-'Αποτελέσματα Χρήσης'!G9),"n.a."))</x:f>
        <x:v>n.a.</x:v>
      </x:c>
      <x:c r="H15" s="75" t="str">
        <x:f>IF(COUNT('Αποτελέσματα Χρήσης'!H10,'Αποτελέσματα Χρήσης'!H8,'Αποτελέσματα Χρήσης'!H9)&lt;3,"n.a.",IF(TRUE,'Αποτελέσματα Χρήσης'!H10-('Αποτελέσματα Χρήσης'!H8-'Αποτελέσματα Χρήσης'!H9),"n.a."))</x:f>
        <x:v>n.a.</x:v>
      </x:c>
      <x:c r="I15" s="75" t="str">
        <x:f>IF(COUNT('Αποτελέσματα Χρήσης'!I10,'Αποτελέσματα Χρήσης'!I8,'Αποτελέσματα Χρήσης'!I9)&lt;3,"n.a.",IF(TRUE,'Αποτελέσματα Χρήσης'!I10-('Αποτελέσματα Χρήσης'!I8-'Αποτελέσματα Χρήσης'!I9),"n.a."))</x:f>
        <x:v>n.a.</x:v>
      </x:c>
      <x:c r="J15" s="2"/>
      <x:c r="K15" s="2"/>
      <x:c r="L15" s="2"/>
      <x:c r="M15" s="2"/>
    </x:row>
    <x:row r="16" ht="23" customHeight="1">
      <x:c r="A16" s="1"/>
      <x:c r="B16" s="1"/>
      <x:c r="C16" s="2" t="str">
        <x:v>Δημοσιευμένο EBIT μείον λειτουργικό υπολογισμό</x:v>
      </x:c>
      <x:c r="D16" s="74"/>
      <x:c r="E16" s="76" t="str">
        <x:f>IF(COUNT('Αποτελέσματα Χρήσης'!E16,'Αποτελέσματα Χρήσης'!E10,'Υπολογισμοί Κεφαλαίων'!E17,'Αποτελέσματα Χρήσης'!E15)&lt;4,"n.a.",IF(TRUE,'Αποτελέσματα Χρήσης'!E16-('Αποτελέσματα Χρήσης'!E10-'Υπολογισμοί Κεφαλαίων'!E17+'Αποτελέσματα Χρήσης'!E15),"n.a."))</x:f>
        <x:v>n.a.</x:v>
      </x:c>
      <x:c r="F16" s="76" t="str">
        <x:f>IF(COUNT('Αποτελέσματα Χρήσης'!F16,'Αποτελέσματα Χρήσης'!F10,'Υπολογισμοί Κεφαλαίων'!F17,'Αποτελέσματα Χρήσης'!F15)&lt;4,"n.a.",IF(TRUE,'Αποτελέσματα Χρήσης'!F16-('Αποτελέσματα Χρήσης'!F10-'Υπολογισμοί Κεφαλαίων'!F17+'Αποτελέσματα Χρήσης'!F15),"n.a."))</x:f>
        <x:v>n.a.</x:v>
      </x:c>
      <x:c r="G16" s="76" t="str">
        <x:f>IF(COUNT('Αποτελέσματα Χρήσης'!G16,'Αποτελέσματα Χρήσης'!G10,'Υπολογισμοί Κεφαλαίων'!G17,'Αποτελέσματα Χρήσης'!G15)&lt;4,"n.a.",IF(TRUE,'Αποτελέσματα Χρήσης'!G16-('Αποτελέσματα Χρήσης'!G10-'Υπολογισμοί Κεφαλαίων'!G17+'Αποτελέσματα Χρήσης'!G15),"n.a."))</x:f>
        <x:v>n.a.</x:v>
      </x:c>
      <x:c r="H16" s="76" t="str">
        <x:f>IF(COUNT('Αποτελέσματα Χρήσης'!H16,'Αποτελέσματα Χρήσης'!H10,'Υπολογισμοί Κεφαλαίων'!H17,'Αποτελέσματα Χρήσης'!H15)&lt;4,"n.a.",IF(TRUE,'Αποτελέσματα Χρήσης'!H16-('Αποτελέσματα Χρήσης'!H10-'Υπολογισμοί Κεφαλαίων'!H17+'Αποτελέσματα Χρήσης'!H15),"n.a."))</x:f>
        <x:v>n.a.</x:v>
      </x:c>
      <x:c r="I16" s="76" t="str">
        <x:f>IF(COUNT('Αποτελέσματα Χρήσης'!I16,'Αποτελέσματα Χρήσης'!I10,'Υπολογισμοί Κεφαλαίων'!I17,'Αποτελέσματα Χρήσης'!I15)&lt;4,"n.a.",IF(TRUE,'Αποτελέσματα Χρήσης'!I16-('Αποτελέσματα Χρήσης'!I10-'Υπολογισμοί Κεφαλαίων'!I17+'Αποτελέσματα Χρήσης'!I15),"n.a."))</x:f>
        <x:v>n.a.</x:v>
      </x:c>
      <x:c r="J16" s="2"/>
      <x:c r="K16" s="2"/>
      <x:c r="L16" s="2"/>
      <x:c r="M16" s="2"/>
    </x:row>
    <x:row r="17" ht="23" customHeight="1">
      <x:c r="A17" s="1"/>
      <x:c r="B17" s="1"/>
      <x:c r="C17" s="2" t="str">
        <x:v>Κέρδη προ φόρων μείον υπολογισμό</x:v>
      </x:c>
      <x:c r="D17" s="74"/>
      <x:c r="E17" s="75" t="str">
        <x:f>IF(COUNT('Αποτελέσματα Χρήσης'!E25,'Αποτελέσματα Χρήσης'!E16,'Αποτελέσματα Χρήσης'!E20,'Αποτελέσματα Χρήσης'!E21,'Αποτελέσματα Χρήσης'!E23,'Αποτελέσματα Χρήσης'!E24)&lt;6,"n.a.",IF(TRUE,'Αποτελέσματα Χρήσης'!E25-('Αποτελέσματα Χρήσης'!E16+'Αποτελέσματα Χρήσης'!E20-'Αποτελέσματα Χρήσης'!E21+'Αποτελέσματα Χρήσης'!E23+'Αποτελέσματα Χρήσης'!E24),"n.a."))</x:f>
        <x:v>n.a.</x:v>
      </x:c>
      <x:c r="F17" s="75" t="str">
        <x:f>IF(COUNT('Αποτελέσματα Χρήσης'!F25,'Αποτελέσματα Χρήσης'!F16,'Αποτελέσματα Χρήσης'!F20,'Αποτελέσματα Χρήσης'!F21,'Αποτελέσματα Χρήσης'!F23,'Αποτελέσματα Χρήσης'!F24)&lt;6,"n.a.",IF(TRUE,'Αποτελέσματα Χρήσης'!F25-('Αποτελέσματα Χρήσης'!F16+'Αποτελέσματα Χρήσης'!F20-'Αποτελέσματα Χρήσης'!F21+'Αποτελέσματα Χρήσης'!F23+'Αποτελέσματα Χρήσης'!F24),"n.a."))</x:f>
        <x:v>n.a.</x:v>
      </x:c>
      <x:c r="G17" s="75" t="str">
        <x:f>IF(COUNT('Αποτελέσματα Χρήσης'!G25,'Αποτελέσματα Χρήσης'!G16,'Αποτελέσματα Χρήσης'!G20,'Αποτελέσματα Χρήσης'!G21,'Αποτελέσματα Χρήσης'!G23,'Αποτελέσματα Χρήσης'!G24)&lt;6,"n.a.",IF(TRUE,'Αποτελέσματα Χρήσης'!G25-('Αποτελέσματα Χρήσης'!G16+'Αποτελέσματα Χρήσης'!G20-'Αποτελέσματα Χρήσης'!G21+'Αποτελέσματα Χρήσης'!G23+'Αποτελέσματα Χρήσης'!G24),"n.a."))</x:f>
        <x:v>n.a.</x:v>
      </x:c>
      <x:c r="H17" s="75" t="str">
        <x:f>IF(COUNT('Αποτελέσματα Χρήσης'!H25,'Αποτελέσματα Χρήσης'!H16,'Αποτελέσματα Χρήσης'!H20,'Αποτελέσματα Χρήσης'!H21,'Αποτελέσματα Χρήσης'!H23,'Αποτελέσματα Χρήσης'!H24)&lt;6,"n.a.",IF(TRUE,'Αποτελέσματα Χρήσης'!H25-('Αποτελέσματα Χρήσης'!H16+'Αποτελέσματα Χρήσης'!H20-'Αποτελέσματα Χρήσης'!H21+'Αποτελέσματα Χρήσης'!H23+'Αποτελέσματα Χρήσης'!H24),"n.a."))</x:f>
        <x:v>n.a.</x:v>
      </x:c>
      <x:c r="I17" s="75" t="str">
        <x:f>IF(COUNT('Αποτελέσματα Χρήσης'!I25,'Αποτελέσματα Χρήσης'!I16,'Αποτελέσματα Χρήσης'!I20,'Αποτελέσματα Χρήσης'!I21,'Αποτελέσματα Χρήσης'!I23,'Αποτελέσματα Χρήσης'!I24)&lt;6,"n.a.",IF(TRUE,'Αποτελέσματα Χρήσης'!I25-('Αποτελέσματα Χρήσης'!I16+'Αποτελέσματα Χρήσης'!I20-'Αποτελέσματα Χρήσης'!I21+'Αποτελέσματα Χρήσης'!I23+'Αποτελέσματα Χρήσης'!I24),"n.a."))</x:f>
        <x:v>n.a.</x:v>
      </x:c>
      <x:c r="J17" s="2"/>
      <x:c r="K17" s="2"/>
      <x:c r="L17" s="2"/>
      <x:c r="M17" s="2"/>
    </x:row>
    <x:row r="18" ht="23" customHeight="1">
      <x:c r="A18" s="1"/>
      <x:c r="B18" s="1"/>
      <x:c r="C18" s="2" t="str">
        <x:v>Καθαρά κέρδη μείον υπολογισμό μετά φόρων</x:v>
      </x:c>
      <x:c r="D18" s="74"/>
      <x:c r="E18" s="76" t="str">
        <x:f>IF(COUNT('Αποτελέσματα Χρήσης'!E28,'Αποτελέσματα Χρήσης'!E25,'Αποτελέσματα Χρήσης'!E26,'Αποτελέσματα Χρήσης'!E27)&lt;4,"n.a.",IF(TRUE,'Αποτελέσματα Χρήσης'!E28-('Αποτελέσματα Χρήσης'!E25-'Αποτελέσματα Χρήσης'!E26+'Αποτελέσματα Χρήσης'!E27),"n.a."))</x:f>
        <x:v>n.a.</x:v>
      </x:c>
      <x:c r="F18" s="76" t="str">
        <x:f>IF(COUNT('Αποτελέσματα Χρήσης'!F28,'Αποτελέσματα Χρήσης'!F25,'Αποτελέσματα Χρήσης'!F26,'Αποτελέσματα Χρήσης'!F27)&lt;4,"n.a.",IF(TRUE,'Αποτελέσματα Χρήσης'!F28-('Αποτελέσματα Χρήσης'!F25-'Αποτελέσματα Χρήσης'!F26+'Αποτελέσματα Χρήσης'!F27),"n.a."))</x:f>
        <x:v>n.a.</x:v>
      </x:c>
      <x:c r="G18" s="76" t="str">
        <x:f>IF(COUNT('Αποτελέσματα Χρήσης'!G28,'Αποτελέσματα Χρήσης'!G25,'Αποτελέσματα Χρήσης'!G26,'Αποτελέσματα Χρήσης'!G27)&lt;4,"n.a.",IF(TRUE,'Αποτελέσματα Χρήσης'!G28-('Αποτελέσματα Χρήσης'!G25-'Αποτελέσματα Χρήσης'!G26+'Αποτελέσματα Χρήσης'!G27),"n.a."))</x:f>
        <x:v>n.a.</x:v>
      </x:c>
      <x:c r="H18" s="76" t="str">
        <x:f>IF(COUNT('Αποτελέσματα Χρήσης'!H28,'Αποτελέσματα Χρήσης'!H25,'Αποτελέσματα Χρήσης'!H26,'Αποτελέσματα Χρήσης'!H27)&lt;4,"n.a.",IF(TRUE,'Αποτελέσματα Χρήσης'!H28-('Αποτελέσματα Χρήσης'!H25-'Αποτελέσματα Χρήσης'!H26+'Αποτελέσματα Χρήσης'!H27),"n.a."))</x:f>
        <x:v>n.a.</x:v>
      </x:c>
      <x:c r="I18" s="76" t="str">
        <x:f>IF(COUNT('Αποτελέσματα Χρήσης'!I28,'Αποτελέσματα Χρήσης'!I25,'Αποτελέσματα Χρήσης'!I26,'Αποτελέσματα Χρήσης'!I27)&lt;4,"n.a.",IF(TRUE,'Αποτελέσματα Χρήσης'!I28-('Αποτελέσματα Χρήσης'!I25-'Αποτελέσματα Χρήσης'!I26+'Αποτελέσματα Χρήσης'!I27),"n.a."))</x:f>
        <x:v>n.a.</x:v>
      </x:c>
      <x:c r="J18" s="2"/>
      <x:c r="K18" s="2"/>
      <x:c r="L18" s="2"/>
      <x:c r="M18" s="2"/>
    </x:row>
    <x:row r="19" ht="23" customHeight="1">
      <x:c r="A19" s="1"/>
      <x:c r="B19" s="1"/>
      <x:c r="C19" s="2" t="str">
        <x:v>Κέρδη ομίλου μείον μητρική και μειοψηφία</x:v>
      </x:c>
      <x:c r="D19" s="74"/>
      <x:c r="E19" s="75" t="str">
        <x:f>IF(COUNT('Αποτελέσματα Χρήσης'!E28,'Αποτελέσματα Χρήσης'!E29,'Αποτελέσματα Χρήσης'!E30)&lt;3,"n.a.",IF(TRUE,'Αποτελέσματα Χρήσης'!E28-'Αποτελέσματα Χρήσης'!E29-'Αποτελέσματα Χρήσης'!E30,"n.a."))</x:f>
        <x:v>n.a.</x:v>
      </x:c>
      <x:c r="F19" s="75" t="str">
        <x:f>IF(COUNT('Αποτελέσματα Χρήσης'!F28,'Αποτελέσματα Χρήσης'!F29,'Αποτελέσματα Χρήσης'!F30)&lt;3,"n.a.",IF(TRUE,'Αποτελέσματα Χρήσης'!F28-'Αποτελέσματα Χρήσης'!F29-'Αποτελέσματα Χρήσης'!F30,"n.a."))</x:f>
        <x:v>n.a.</x:v>
      </x:c>
      <x:c r="G19" s="75" t="str">
        <x:f>IF(COUNT('Αποτελέσματα Χρήσης'!G28,'Αποτελέσματα Χρήσης'!G29,'Αποτελέσματα Χρήσης'!G30)&lt;3,"n.a.",IF(TRUE,'Αποτελέσματα Χρήσης'!G28-'Αποτελέσματα Χρήσης'!G29-'Αποτελέσματα Χρήσης'!G30,"n.a."))</x:f>
        <x:v>n.a.</x:v>
      </x:c>
      <x:c r="H19" s="75" t="str">
        <x:f>IF(COUNT('Αποτελέσματα Χρήσης'!H28,'Αποτελέσματα Χρήσης'!H29,'Αποτελέσματα Χρήσης'!H30)&lt;3,"n.a.",IF(TRUE,'Αποτελέσματα Χρήσης'!H28-'Αποτελέσματα Χρήσης'!H29-'Αποτελέσματα Χρήσης'!H30,"n.a."))</x:f>
        <x:v>n.a.</x:v>
      </x:c>
      <x:c r="I19" s="75" t="str">
        <x:f>IF(COUNT('Αποτελέσματα Χρήσης'!I28,'Αποτελέσματα Χρήσης'!I29,'Αποτελέσματα Χρήσης'!I30)&lt;3,"n.a.",IF(TRUE,'Αποτελέσματα Χρήσης'!I28-'Αποτελέσματα Χρήσης'!I29-'Αποτελέσματα Χρήσης'!I30,"n.a."))</x:f>
        <x:v>n.a.</x:v>
      </x:c>
      <x:c r="J19" s="2"/>
      <x:c r="K19" s="2"/>
      <x:c r="L19" s="2"/>
      <x:c r="M19" s="2"/>
    </x:row>
    <x:row r="20" ht="23" customHeight="1">
      <x:c r="A20" s="1"/>
      <x:c r="B20" s="1"/>
      <x:c r="C20" s="2" t="str">
        <x:v>Δημοσιευμένο EBITDA μείον EBIT και αποσβέσεις</x:v>
      </x:c>
      <x:c r="D20" s="74"/>
      <x:c r="E20" s="76" t="str">
        <x:f>IF(COUNT('Αποτελέσματα Χρήσης'!E18,'Υπολογισμοί Κεφαλαίων'!E16)&lt;2,"n.a.",IF(TRUE,'Αποτελέσματα Χρήσης'!E18-'Υπολογισμοί Κεφαλαίων'!E16,"n.a."))</x:f>
        <x:v>n.a.</x:v>
      </x:c>
      <x:c r="F20" s="76" t="str">
        <x:f>IF(COUNT('Αποτελέσματα Χρήσης'!F18,'Υπολογισμοί Κεφαλαίων'!F16)&lt;2,"n.a.",IF(TRUE,'Αποτελέσματα Χρήσης'!F18-'Υπολογισμοί Κεφαλαίων'!F16,"n.a."))</x:f>
        <x:v>n.a.</x:v>
      </x:c>
      <x:c r="G20" s="76" t="str">
        <x:f>IF(COUNT('Αποτελέσματα Χρήσης'!G18,'Υπολογισμοί Κεφαλαίων'!G16)&lt;2,"n.a.",IF(TRUE,'Αποτελέσματα Χρήσης'!G18-'Υπολογισμοί Κεφαλαίων'!G16,"n.a."))</x:f>
        <x:v>n.a.</x:v>
      </x:c>
      <x:c r="H20" s="76" t="str">
        <x:f>IF(COUNT('Αποτελέσματα Χρήσης'!H18,'Υπολογισμοί Κεφαλαίων'!H16)&lt;2,"n.a.",IF(TRUE,'Αποτελέσματα Χρήσης'!H18-'Υπολογισμοί Κεφαλαίων'!H16,"n.a."))</x:f>
        <x:v>n.a.</x:v>
      </x:c>
      <x:c r="I20" s="76" t="str">
        <x:f>IF(COUNT('Αποτελέσματα Χρήσης'!I18,'Υπολογισμοί Κεφαλαίων'!I16)&lt;2,"n.a.",IF(TRUE,'Αποτελέσματα Χρήσης'!I18-'Υπολογισμοί Κεφαλαίων'!I16,"n.a."))</x:f>
        <x:v>n.a.</x:v>
      </x:c>
      <x:c r="J20" s="2"/>
      <x:c r="K20" s="2"/>
      <x:c r="L20" s="2"/>
      <x:c r="M20" s="2"/>
    </x:row>
    <x:row r="21" ht="23" customHeight="1">
      <x:c r="A21" s="1"/>
      <x:c r="B21" s="1"/>
      <x:c r="C21" s="2" t="str">
        <x:v>Λειτουργικές ροές μείον άθροισμα έμμεσης μεθόδου</x:v>
      </x:c>
      <x:c r="D21" s="74"/>
      <x:c r="E21" s="75" t="str">
        <x:f>IF(COUNT('Κατάσταση Ταμειακών Ροών'!E18,'Κατάσταση Ταμειακών Ροών'!E8,'Κατάσταση Ταμειακών Ροών'!E9,'Κατάσταση Ταμειακών Ροών'!E10,'Κατάσταση Ταμειακών Ροών'!E11,'Κατάσταση Ταμειακών Ροών'!E12,'Κατάσταση Ταμειακών Ροών'!E13,'Κατάσταση Ταμειακών Ροών'!E14,'Κατάσταση Ταμειακών Ροών'!E15,'Κατάσταση Ταμειακών Ροών'!E16,'Κατάσταση Ταμειακών Ροών'!E17)&lt;11,"n.a.",IF(TRUE,'Κατάσταση Ταμειακών Ροών'!E18-'Κατάσταση Ταμειακών Ροών'!E8-'Κατάσταση Ταμειακών Ροών'!E9-'Κατάσταση Ταμειακών Ροών'!E10-'Κατάσταση Ταμειακών Ροών'!E11-'Κατάσταση Ταμειακών Ροών'!E12-'Κατάσταση Ταμειακών Ροών'!E13-'Κατάσταση Ταμειακών Ροών'!E14-'Κατάσταση Ταμειακών Ροών'!E15-'Κατάσταση Ταμειακών Ροών'!E16-'Κατάσταση Ταμειακών Ροών'!E17,"n.a."))</x:f>
        <x:v>n.a.</x:v>
      </x:c>
      <x:c r="F21" s="75" t="str">
        <x:f>IF(COUNT('Κατάσταση Ταμειακών Ροών'!F18,'Κατάσταση Ταμειακών Ροών'!F8,'Κατάσταση Ταμειακών Ροών'!F9,'Κατάσταση Ταμειακών Ροών'!F10,'Κατάσταση Ταμειακών Ροών'!F11,'Κατάσταση Ταμειακών Ροών'!F12,'Κατάσταση Ταμειακών Ροών'!F13,'Κατάσταση Ταμειακών Ροών'!F14,'Κατάσταση Ταμειακών Ροών'!F15,'Κατάσταση Ταμειακών Ροών'!F16,'Κατάσταση Ταμειακών Ροών'!F17)&lt;11,"n.a.",IF(TRUE,'Κατάσταση Ταμειακών Ροών'!F18-'Κατάσταση Ταμειακών Ροών'!F8-'Κατάσταση Ταμειακών Ροών'!F9-'Κατάσταση Ταμειακών Ροών'!F10-'Κατάσταση Ταμειακών Ροών'!F11-'Κατάσταση Ταμειακών Ροών'!F12-'Κατάσταση Ταμειακών Ροών'!F13-'Κατάσταση Ταμειακών Ροών'!F14-'Κατάσταση Ταμειακών Ροών'!F15-'Κατάσταση Ταμειακών Ροών'!F16-'Κατάσταση Ταμειακών Ροών'!F17,"n.a."))</x:f>
        <x:v>n.a.</x:v>
      </x:c>
      <x:c r="G21" s="75" t="str">
        <x:f>IF(COUNT('Κατάσταση Ταμειακών Ροών'!G18,'Κατάσταση Ταμειακών Ροών'!G8,'Κατάσταση Ταμειακών Ροών'!G9,'Κατάσταση Ταμειακών Ροών'!G10,'Κατάσταση Ταμειακών Ροών'!G11,'Κατάσταση Ταμειακών Ροών'!G12,'Κατάσταση Ταμειακών Ροών'!G13,'Κατάσταση Ταμειακών Ροών'!G14,'Κατάσταση Ταμειακών Ροών'!G15,'Κατάσταση Ταμειακών Ροών'!G16,'Κατάσταση Ταμειακών Ροών'!G17)&lt;11,"n.a.",IF(TRUE,'Κατάσταση Ταμειακών Ροών'!G18-'Κατάσταση Ταμειακών Ροών'!G8-'Κατάσταση Ταμειακών Ροών'!G9-'Κατάσταση Ταμειακών Ροών'!G10-'Κατάσταση Ταμειακών Ροών'!G11-'Κατάσταση Ταμειακών Ροών'!G12-'Κατάσταση Ταμειακών Ροών'!G13-'Κατάσταση Ταμειακών Ροών'!G14-'Κατάσταση Ταμειακών Ροών'!G15-'Κατάσταση Ταμειακών Ροών'!G16-'Κατάσταση Ταμειακών Ροών'!G17,"n.a."))</x:f>
        <x:v>n.a.</x:v>
      </x:c>
      <x:c r="H21" s="75" t="str">
        <x:f>IF(COUNT('Κατάσταση Ταμειακών Ροών'!H18,'Κατάσταση Ταμειακών Ροών'!H8,'Κατάσταση Ταμειακών Ροών'!H9,'Κατάσταση Ταμειακών Ροών'!H10,'Κατάσταση Ταμειακών Ροών'!H11,'Κατάσταση Ταμειακών Ροών'!H12,'Κατάσταση Ταμειακών Ροών'!H13,'Κατάσταση Ταμειακών Ροών'!H14,'Κατάσταση Ταμειακών Ροών'!H15,'Κατάσταση Ταμειακών Ροών'!H16,'Κατάσταση Ταμειακών Ροών'!H17)&lt;11,"n.a.",IF(TRUE,'Κατάσταση Ταμειακών Ροών'!H18-'Κατάσταση Ταμειακών Ροών'!H8-'Κατάσταση Ταμειακών Ροών'!H9-'Κατάσταση Ταμειακών Ροών'!H10-'Κατάσταση Ταμειακών Ροών'!H11-'Κατάσταση Ταμειακών Ροών'!H12-'Κατάσταση Ταμειακών Ροών'!H13-'Κατάσταση Ταμειακών Ροών'!H14-'Κατάσταση Ταμειακών Ροών'!H15-'Κατάσταση Ταμειακών Ροών'!H16-'Κατάσταση Ταμειακών Ροών'!H17,"n.a."))</x:f>
        <x:v>n.a.</x:v>
      </x:c>
      <x:c r="I21" s="75" t="str">
        <x:f>IF(COUNT('Κατάσταση Ταμειακών Ροών'!I18,'Κατάσταση Ταμειακών Ροών'!I8,'Κατάσταση Ταμειακών Ροών'!I9,'Κατάσταση Ταμειακών Ροών'!I10,'Κατάσταση Ταμειακών Ροών'!I11,'Κατάσταση Ταμειακών Ροών'!I12,'Κατάσταση Ταμειακών Ροών'!I13,'Κατάσταση Ταμειακών Ροών'!I14,'Κατάσταση Ταμειακών Ροών'!I15,'Κατάσταση Ταμειακών Ροών'!I16,'Κατάσταση Ταμειακών Ροών'!I17)&lt;11,"n.a.",IF(TRUE,'Κατάσταση Ταμειακών Ροών'!I18-'Κατάσταση Ταμειακών Ροών'!I8-'Κατάσταση Ταμειακών Ροών'!I9-'Κατάσταση Ταμειακών Ροών'!I10-'Κατάσταση Ταμειακών Ροών'!I11-'Κατάσταση Ταμειακών Ροών'!I12-'Κατάσταση Ταμειακών Ροών'!I13-'Κατάσταση Ταμειακών Ροών'!I14-'Κατάσταση Ταμειακών Ροών'!I15-'Κατάσταση Ταμειακών Ροών'!I16-'Κατάσταση Ταμειακών Ροών'!I17,"n.a."))</x:f>
        <x:v>n.a.</x:v>
      </x:c>
      <x:c r="J21" s="2"/>
      <x:c r="K21" s="2"/>
      <x:c r="L21" s="2"/>
      <x:c r="M21" s="2"/>
    </x:row>
    <x:row r="22" ht="23" customHeight="1">
      <x:c r="A22" s="1"/>
      <x:c r="B22" s="1"/>
      <x:c r="C22" s="2" t="str">
        <x:v>Επενδυτικές ροές μείον άθροισμα στοιχείων</x:v>
      </x:c>
      <x:c r="D22" s="74"/>
      <x:c r="E22" s="76" t="str">
        <x:f>IF(COUNT('Κατάσταση Ταμειακών Ροών'!E27,'Κατάσταση Ταμειακών Ροών'!E20,'Κατάσταση Ταμειακών Ροών'!E21,'Κατάσταση Ταμειακών Ροών'!E22,'Κατάσταση Ταμειακών Ροών'!E23,'Κατάσταση Ταμειακών Ροών'!E24,'Κατάσταση Ταμειακών Ροών'!E25,'Κατάσταση Ταμειακών Ροών'!E26)&lt;8,"n.a.",IF(TRUE,'Κατάσταση Ταμειακών Ροών'!E27-'Κατάσταση Ταμειακών Ροών'!E20-'Κατάσταση Ταμειακών Ροών'!E21-'Κατάσταση Ταμειακών Ροών'!E22-'Κατάσταση Ταμειακών Ροών'!E23-'Κατάσταση Ταμειακών Ροών'!E24-'Κατάσταση Ταμειακών Ροών'!E25-'Κατάσταση Ταμειακών Ροών'!E26,"n.a."))</x:f>
        <x:v>n.a.</x:v>
      </x:c>
      <x:c r="F22" s="76" t="str">
        <x:f>IF(COUNT('Κατάσταση Ταμειακών Ροών'!F27,'Κατάσταση Ταμειακών Ροών'!F20,'Κατάσταση Ταμειακών Ροών'!F21,'Κατάσταση Ταμειακών Ροών'!F22,'Κατάσταση Ταμειακών Ροών'!F23,'Κατάσταση Ταμειακών Ροών'!F24,'Κατάσταση Ταμειακών Ροών'!F25,'Κατάσταση Ταμειακών Ροών'!F26)&lt;8,"n.a.",IF(TRUE,'Κατάσταση Ταμειακών Ροών'!F27-'Κατάσταση Ταμειακών Ροών'!F20-'Κατάσταση Ταμειακών Ροών'!F21-'Κατάσταση Ταμειακών Ροών'!F22-'Κατάσταση Ταμειακών Ροών'!F23-'Κατάσταση Ταμειακών Ροών'!F24-'Κατάσταση Ταμειακών Ροών'!F25-'Κατάσταση Ταμειακών Ροών'!F26,"n.a."))</x:f>
        <x:v>n.a.</x:v>
      </x:c>
      <x:c r="G22" s="76" t="str">
        <x:f>IF(COUNT('Κατάσταση Ταμειακών Ροών'!G27,'Κατάσταση Ταμειακών Ροών'!G20,'Κατάσταση Ταμειακών Ροών'!G21,'Κατάσταση Ταμειακών Ροών'!G22,'Κατάσταση Ταμειακών Ροών'!G23,'Κατάσταση Ταμειακών Ροών'!G24,'Κατάσταση Ταμειακών Ροών'!G25,'Κατάσταση Ταμειακών Ροών'!G26)&lt;8,"n.a.",IF(TRUE,'Κατάσταση Ταμειακών Ροών'!G27-'Κατάσταση Ταμειακών Ροών'!G20-'Κατάσταση Ταμειακών Ροών'!G21-'Κατάσταση Ταμειακών Ροών'!G22-'Κατάσταση Ταμειακών Ροών'!G23-'Κατάσταση Ταμειακών Ροών'!G24-'Κατάσταση Ταμειακών Ροών'!G25-'Κατάσταση Ταμειακών Ροών'!G26,"n.a."))</x:f>
        <x:v>n.a.</x:v>
      </x:c>
      <x:c r="H22" s="76" t="str">
        <x:f>IF(COUNT('Κατάσταση Ταμειακών Ροών'!H27,'Κατάσταση Ταμειακών Ροών'!H20,'Κατάσταση Ταμειακών Ροών'!H21,'Κατάσταση Ταμειακών Ροών'!H22,'Κατάσταση Ταμειακών Ροών'!H23,'Κατάσταση Ταμειακών Ροών'!H24,'Κατάσταση Ταμειακών Ροών'!H25,'Κατάσταση Ταμειακών Ροών'!H26)&lt;8,"n.a.",IF(TRUE,'Κατάσταση Ταμειακών Ροών'!H27-'Κατάσταση Ταμειακών Ροών'!H20-'Κατάσταση Ταμειακών Ροών'!H21-'Κατάσταση Ταμειακών Ροών'!H22-'Κατάσταση Ταμειακών Ροών'!H23-'Κατάσταση Ταμειακών Ροών'!H24-'Κατάσταση Ταμειακών Ροών'!H25-'Κατάσταση Ταμειακών Ροών'!H26,"n.a."))</x:f>
        <x:v>n.a.</x:v>
      </x:c>
      <x:c r="I22" s="76" t="str">
        <x:f>IF(COUNT('Κατάσταση Ταμειακών Ροών'!I27,'Κατάσταση Ταμειακών Ροών'!I20,'Κατάσταση Ταμειακών Ροών'!I21,'Κατάσταση Ταμειακών Ροών'!I22,'Κατάσταση Ταμειακών Ροών'!I23,'Κατάσταση Ταμειακών Ροών'!I24,'Κατάσταση Ταμειακών Ροών'!I25,'Κατάσταση Ταμειακών Ροών'!I26)&lt;8,"n.a.",IF(TRUE,'Κατάσταση Ταμειακών Ροών'!I27-'Κατάσταση Ταμειακών Ροών'!I20-'Κατάσταση Ταμειακών Ροών'!I21-'Κατάσταση Ταμειακών Ροών'!I22-'Κατάσταση Ταμειακών Ροών'!I23-'Κατάσταση Ταμειακών Ροών'!I24-'Κατάσταση Ταμειακών Ροών'!I25-'Κατάσταση Ταμειακών Ροών'!I26,"n.a."))</x:f>
        <x:v>n.a.</x:v>
      </x:c>
      <x:c r="J22" s="2"/>
      <x:c r="K22" s="2"/>
      <x:c r="L22" s="2"/>
      <x:c r="M22" s="2"/>
    </x:row>
    <x:row r="23" ht="23" customHeight="1">
      <x:c r="A23" s="1"/>
      <x:c r="B23" s="1"/>
      <x:c r="C23" s="2" t="str">
        <x:v>Χρηματοδοτικές ροές μείον άθροισμα στοιχείων</x:v>
      </x:c>
      <x:c r="D23" s="74"/>
      <x:c r="E23" s="75" t="str">
        <x:f>IF(COUNT('Κατάσταση Ταμειακών Ροών'!E37,'Κατάσταση Ταμειακών Ροών'!E29,'Κατάσταση Ταμειακών Ροών'!E30,'Κατάσταση Ταμειακών Ροών'!E31,'Κατάσταση Ταμειακών Ροών'!E32,'Κατάσταση Ταμειακών Ροών'!E33,'Κατάσταση Ταμειακών Ροών'!E34,'Κατάσταση Ταμειακών Ροών'!E35,'Κατάσταση Ταμειακών Ροών'!E36)&lt;9,"n.a.",IF(TRUE,'Κατάσταση Ταμειακών Ροών'!E37-'Κατάσταση Ταμειακών Ροών'!E29-'Κατάσταση Ταμειακών Ροών'!E30-'Κατάσταση Ταμειακών Ροών'!E31-'Κατάσταση Ταμειακών Ροών'!E32-'Κατάσταση Ταμειακών Ροών'!E33-'Κατάσταση Ταμειακών Ροών'!E34-'Κατάσταση Ταμειακών Ροών'!E35-'Κατάσταση Ταμειακών Ροών'!E36,"n.a."))</x:f>
        <x:v>n.a.</x:v>
      </x:c>
      <x:c r="F23" s="75" t="str">
        <x:f>IF(COUNT('Κατάσταση Ταμειακών Ροών'!F37,'Κατάσταση Ταμειακών Ροών'!F29,'Κατάσταση Ταμειακών Ροών'!F30,'Κατάσταση Ταμειακών Ροών'!F31,'Κατάσταση Ταμειακών Ροών'!F32,'Κατάσταση Ταμειακών Ροών'!F33,'Κατάσταση Ταμειακών Ροών'!F34,'Κατάσταση Ταμειακών Ροών'!F35,'Κατάσταση Ταμειακών Ροών'!F36)&lt;9,"n.a.",IF(TRUE,'Κατάσταση Ταμειακών Ροών'!F37-'Κατάσταση Ταμειακών Ροών'!F29-'Κατάσταση Ταμειακών Ροών'!F30-'Κατάσταση Ταμειακών Ροών'!F31-'Κατάσταση Ταμειακών Ροών'!F32-'Κατάσταση Ταμειακών Ροών'!F33-'Κατάσταση Ταμειακών Ροών'!F34-'Κατάσταση Ταμειακών Ροών'!F35-'Κατάσταση Ταμειακών Ροών'!F36,"n.a."))</x:f>
        <x:v>n.a.</x:v>
      </x:c>
      <x:c r="G23" s="75" t="str">
        <x:f>IF(COUNT('Κατάσταση Ταμειακών Ροών'!G37,'Κατάσταση Ταμειακών Ροών'!G29,'Κατάσταση Ταμειακών Ροών'!G30,'Κατάσταση Ταμειακών Ροών'!G31,'Κατάσταση Ταμειακών Ροών'!G32,'Κατάσταση Ταμειακών Ροών'!G33,'Κατάσταση Ταμειακών Ροών'!G34,'Κατάσταση Ταμειακών Ροών'!G35,'Κατάσταση Ταμειακών Ροών'!G36)&lt;9,"n.a.",IF(TRUE,'Κατάσταση Ταμειακών Ροών'!G37-'Κατάσταση Ταμειακών Ροών'!G29-'Κατάσταση Ταμειακών Ροών'!G30-'Κατάσταση Ταμειακών Ροών'!G31-'Κατάσταση Ταμειακών Ροών'!G32-'Κατάσταση Ταμειακών Ροών'!G33-'Κατάσταση Ταμειακών Ροών'!G34-'Κατάσταση Ταμειακών Ροών'!G35-'Κατάσταση Ταμειακών Ροών'!G36,"n.a."))</x:f>
        <x:v>n.a.</x:v>
      </x:c>
      <x:c r="H23" s="75" t="str">
        <x:f>IF(COUNT('Κατάσταση Ταμειακών Ροών'!H37,'Κατάσταση Ταμειακών Ροών'!H29,'Κατάσταση Ταμειακών Ροών'!H30,'Κατάσταση Ταμειακών Ροών'!H31,'Κατάσταση Ταμειακών Ροών'!H32,'Κατάσταση Ταμειακών Ροών'!H33,'Κατάσταση Ταμειακών Ροών'!H34,'Κατάσταση Ταμειακών Ροών'!H35,'Κατάσταση Ταμειακών Ροών'!H36)&lt;9,"n.a.",IF(TRUE,'Κατάσταση Ταμειακών Ροών'!H37-'Κατάσταση Ταμειακών Ροών'!H29-'Κατάσταση Ταμειακών Ροών'!H30-'Κατάσταση Ταμειακών Ροών'!H31-'Κατάσταση Ταμειακών Ροών'!H32-'Κατάσταση Ταμειακών Ροών'!H33-'Κατάσταση Ταμειακών Ροών'!H34-'Κατάσταση Ταμειακών Ροών'!H35-'Κατάσταση Ταμειακών Ροών'!H36,"n.a."))</x:f>
        <x:v>n.a.</x:v>
      </x:c>
      <x:c r="I23" s="75" t="str">
        <x:f>IF(COUNT('Κατάσταση Ταμειακών Ροών'!I37,'Κατάσταση Ταμειακών Ροών'!I29,'Κατάσταση Ταμειακών Ροών'!I30,'Κατάσταση Ταμειακών Ροών'!I31,'Κατάσταση Ταμειακών Ροών'!I32,'Κατάσταση Ταμειακών Ροών'!I33,'Κατάσταση Ταμειακών Ροών'!I34,'Κατάσταση Ταμειακών Ροών'!I35,'Κατάσταση Ταμειακών Ροών'!I36)&lt;9,"n.a.",IF(TRUE,'Κατάσταση Ταμειακών Ροών'!I37-'Κατάσταση Ταμειακών Ροών'!I29-'Κατάσταση Ταμειακών Ροών'!I30-'Κατάσταση Ταμειακών Ροών'!I31-'Κατάσταση Ταμειακών Ροών'!I32-'Κατάσταση Ταμειακών Ροών'!I33-'Κατάσταση Ταμειακών Ροών'!I34-'Κατάσταση Ταμειακών Ροών'!I35-'Κατάσταση Ταμειακών Ροών'!I36,"n.a."))</x:f>
        <x:v>n.a.</x:v>
      </x:c>
      <x:c r="J23" s="2"/>
      <x:c r="K23" s="2"/>
      <x:c r="L23" s="2"/>
      <x:c r="M23" s="2"/>
    </x:row>
    <x:row r="24" ht="23" customHeight="1">
      <x:c r="A24" s="1"/>
      <x:c r="B24" s="1"/>
      <x:c r="C24" s="2" t="str">
        <x:v>Διαθέσιμα τέλους μείον αρχή και καθαρές ροές</x:v>
      </x:c>
      <x:c r="D24" s="74"/>
      <x:c r="E24" s="76" t="str">
        <x:f>IF(COUNT('Κατάσταση Ταμειακών Ροών'!E41,'Κατάσταση Ταμειακών Ροών'!E40,'Ποιότητα Ταμειακών Ροών'!E20)&lt;3,"n.a.",IF(TRUE,'Κατάσταση Ταμειακών Ροών'!E41-'Κατάσταση Ταμειακών Ροών'!E40-'Ποιότητα Ταμειακών Ροών'!E20,"n.a."))</x:f>
        <x:v>n.a.</x:v>
      </x:c>
      <x:c r="F24" s="76" t="str">
        <x:f>IF(COUNT('Κατάσταση Ταμειακών Ροών'!F41,'Κατάσταση Ταμειακών Ροών'!F40,'Ποιότητα Ταμειακών Ροών'!F20)&lt;3,"n.a.",IF(TRUE,'Κατάσταση Ταμειακών Ροών'!F41-'Κατάσταση Ταμειακών Ροών'!F40-'Ποιότητα Ταμειακών Ροών'!F20,"n.a."))</x:f>
        <x:v>n.a.</x:v>
      </x:c>
      <x:c r="G24" s="76" t="str">
        <x:f>IF(COUNT('Κατάσταση Ταμειακών Ροών'!G41,'Κατάσταση Ταμειακών Ροών'!G40,'Ποιότητα Ταμειακών Ροών'!G20)&lt;3,"n.a.",IF(TRUE,'Κατάσταση Ταμειακών Ροών'!G41-'Κατάσταση Ταμειακών Ροών'!G40-'Ποιότητα Ταμειακών Ροών'!G20,"n.a."))</x:f>
        <x:v>n.a.</x:v>
      </x:c>
      <x:c r="H24" s="76" t="str">
        <x:f>IF(COUNT('Κατάσταση Ταμειακών Ροών'!H41,'Κατάσταση Ταμειακών Ροών'!H40,'Ποιότητα Ταμειακών Ροών'!H20)&lt;3,"n.a.",IF(TRUE,'Κατάσταση Ταμειακών Ροών'!H41-'Κατάσταση Ταμειακών Ροών'!H40-'Ποιότητα Ταμειακών Ροών'!H20,"n.a."))</x:f>
        <x:v>n.a.</x:v>
      </x:c>
      <x:c r="I24" s="76" t="str">
        <x:f>IF(COUNT('Κατάσταση Ταμειακών Ροών'!I41,'Κατάσταση Ταμειακών Ροών'!I40,'Ποιότητα Ταμειακών Ροών'!I20)&lt;3,"n.a.",IF(TRUE,'Κατάσταση Ταμειακών Ροών'!I41-'Κατάσταση Ταμειακών Ροών'!I40-'Ποιότητα Ταμειακών Ροών'!I20,"n.a."))</x:f>
        <x:v>n.a.</x:v>
      </x:c>
      <x:c r="J24" s="2"/>
      <x:c r="K24" s="2"/>
      <x:c r="L24" s="2"/>
      <x:c r="M24" s="2"/>
    </x:row>
    <x:row r="25" ht="23" customHeight="1">
      <x:c r="A25" s="1"/>
      <x:c r="B25" s="1"/>
      <x:c r="C25" s="2" t="str">
        <x:v>Διαθέσιμα ροών μείον ισολογισμό και εξηγημένη διαφορά</x:v>
      </x:c>
      <x:c r="D25" s="74"/>
      <x:c r="E25" s="75" t="str">
        <x:f>IF(COUNT('Κατάσταση Ταμειακών Ροών'!E41,'Ισολογισμός'!E8,'Κατάσταση Ταμειακών Ροών'!E42)&lt;3,"n.a.",IF(TRUE,'Κατάσταση Ταμειακών Ροών'!E41-'Ισολογισμός'!E8-'Κατάσταση Ταμειακών Ροών'!E42,"n.a."))</x:f>
        <x:v>n.a.</x:v>
      </x:c>
      <x:c r="F25" s="75" t="str">
        <x:f>IF(COUNT('Κατάσταση Ταμειακών Ροών'!F41,'Ισολογισμός'!F8,'Κατάσταση Ταμειακών Ροών'!F42)&lt;3,"n.a.",IF(TRUE,'Κατάσταση Ταμειακών Ροών'!F41-'Ισολογισμός'!F8-'Κατάσταση Ταμειακών Ροών'!F42,"n.a."))</x:f>
        <x:v>n.a.</x:v>
      </x:c>
      <x:c r="G25" s="75" t="str">
        <x:f>IF(COUNT('Κατάσταση Ταμειακών Ροών'!G41,'Ισολογισμός'!G8,'Κατάσταση Ταμειακών Ροών'!G42)&lt;3,"n.a.",IF(TRUE,'Κατάσταση Ταμειακών Ροών'!G41-'Ισολογισμός'!G8-'Κατάσταση Ταμειακών Ροών'!G42,"n.a."))</x:f>
        <x:v>n.a.</x:v>
      </x:c>
      <x:c r="H25" s="75" t="str">
        <x:f>IF(COUNT('Κατάσταση Ταμειακών Ροών'!H41,'Ισολογισμός'!H8,'Κατάσταση Ταμειακών Ροών'!H42)&lt;3,"n.a.",IF(TRUE,'Κατάσταση Ταμειακών Ροών'!H41-'Ισολογισμός'!H8-'Κατάσταση Ταμειακών Ροών'!H42,"n.a."))</x:f>
        <x:v>n.a.</x:v>
      </x:c>
      <x:c r="I25" s="75" t="str">
        <x:f>IF(COUNT('Κατάσταση Ταμειακών Ροών'!I41,'Ισολογισμός'!I8,'Κατάσταση Ταμειακών Ροών'!I42)&lt;3,"n.a.",IF(TRUE,'Κατάσταση Ταμειακών Ροών'!I41-'Ισολογισμός'!I8-'Κατάσταση Ταμειακών Ροών'!I42,"n.a."))</x:f>
        <x:v>n.a.</x:v>
      </x:c>
      <x:c r="J25" s="2"/>
      <x:c r="K25" s="2"/>
      <x:c r="L25" s="2"/>
      <x:c r="M25" s="2"/>
    </x:row>
    <x:row r="26" ht="23" customHeight="1">
      <x:c r="A26" s="1"/>
      <x:c r="B26" s="1"/>
      <x:c r="C26" s="2" t="str">
        <x:v>Διαθέσιμα αρχής μείον προηγούμενο τέλος</x:v>
      </x:c>
      <x:c r="D26" s="74"/>
      <x:c r="E26" s="76" t="str">
        <x:f>IF(COUNT('Κατάσταση Ταμειακών Ροών'!E40,'Κατάσταση Ταμειακών Ροών'!D41)&lt;2,"n.a.",IF(TRUE,'Κατάσταση Ταμειακών Ροών'!E40-'Κατάσταση Ταμειακών Ροών'!D41,"n.a."))</x:f>
        <x:v>n.a.</x:v>
      </x:c>
      <x:c r="F26" s="76" t="str">
        <x:f>IF(COUNT('Κατάσταση Ταμειακών Ροών'!F40,'Κατάσταση Ταμειακών Ροών'!E41)&lt;2,"n.a.",IF(TRUE,'Κατάσταση Ταμειακών Ροών'!F40-'Κατάσταση Ταμειακών Ροών'!E41,"n.a."))</x:f>
        <x:v>n.a.</x:v>
      </x:c>
      <x:c r="G26" s="76" t="str">
        <x:f>IF(COUNT('Κατάσταση Ταμειακών Ροών'!G40,'Κατάσταση Ταμειακών Ροών'!F41)&lt;2,"n.a.",IF(TRUE,'Κατάσταση Ταμειακών Ροών'!G40-'Κατάσταση Ταμειακών Ροών'!F41,"n.a."))</x:f>
        <x:v>n.a.</x:v>
      </x:c>
      <x:c r="H26" s="76" t="str">
        <x:f>IF(COUNT('Κατάσταση Ταμειακών Ροών'!H40,'Κατάσταση Ταμειακών Ροών'!G41)&lt;2,"n.a.",IF(TRUE,'Κατάσταση Ταμειακών Ροών'!H40-'Κατάσταση Ταμειακών Ροών'!G41,"n.a."))</x:f>
        <x:v>n.a.</x:v>
      </x:c>
      <x:c r="I26" s="76" t="str">
        <x:f>IF(COUNT('Κατάσταση Ταμειακών Ροών'!I40,'Κατάσταση Ταμειακών Ροών'!H41)&lt;2,"n.a.",IF(TRUE,'Κατάσταση Ταμειακών Ροών'!I40-'Κατάσταση Ταμειακών Ροών'!H41,"n.a."))</x:f>
        <x:v>n.a.</x:v>
      </x:c>
      <x:c r="J26" s="2"/>
      <x:c r="K26" s="2"/>
      <x:c r="L26" s="2"/>
      <x:c r="M26" s="2"/>
    </x:row>
    <x:row r="27" ht="23" customHeight="1">
      <x:c r="A27" s="1"/>
      <x:c r="B27" s="1"/>
      <x:c r="C27" s="2" t="str">
        <x:v>Ίδια τέλους μείον αρχή και μεταβολές</x:v>
      </x:c>
      <x:c r="D27" s="74"/>
      <x:c r="E27" s="75" t="str">
        <x:f>IF(COUNT('Μεταβολές Ιδίων Κεφαλαίων'!E15,'Μεταβολές Ιδίων Κεφαλαίων'!E7,'Μεταβολές Ιδίων Κεφαλαίων'!E8,'Μεταβολές Ιδίων Κεφαλαίων'!E9,'Μεταβολές Ιδίων Κεφαλαίων'!E10,'Μεταβολές Ιδίων Κεφαλαίων'!E11,'Μεταβολές Ιδίων Κεφαλαίων'!E12,'Μεταβολές Ιδίων Κεφαλαίων'!E13,'Μεταβολές Ιδίων Κεφαλαίων'!E14)&lt;9,"n.a.",IF(TRUE,'Μεταβολές Ιδίων Κεφαλαίων'!E15-'Μεταβολές Ιδίων Κεφαλαίων'!E7-'Μεταβολές Ιδίων Κεφαλαίων'!E8-'Μεταβολές Ιδίων Κεφαλαίων'!E9-'Μεταβολές Ιδίων Κεφαλαίων'!E10-'Μεταβολές Ιδίων Κεφαλαίων'!E11-'Μεταβολές Ιδίων Κεφαλαίων'!E12-'Μεταβολές Ιδίων Κεφαλαίων'!E13-'Μεταβολές Ιδίων Κεφαλαίων'!E14,"n.a."))</x:f>
        <x:v>n.a.</x:v>
      </x:c>
      <x:c r="F27" s="75" t="str">
        <x:f>IF(COUNT('Μεταβολές Ιδίων Κεφαλαίων'!F15,'Μεταβολές Ιδίων Κεφαλαίων'!F7,'Μεταβολές Ιδίων Κεφαλαίων'!F8,'Μεταβολές Ιδίων Κεφαλαίων'!F9,'Μεταβολές Ιδίων Κεφαλαίων'!F10,'Μεταβολές Ιδίων Κεφαλαίων'!F11,'Μεταβολές Ιδίων Κεφαλαίων'!F12,'Μεταβολές Ιδίων Κεφαλαίων'!F13,'Μεταβολές Ιδίων Κεφαλαίων'!F14)&lt;9,"n.a.",IF(TRUE,'Μεταβολές Ιδίων Κεφαλαίων'!F15-'Μεταβολές Ιδίων Κεφαλαίων'!F7-'Μεταβολές Ιδίων Κεφαλαίων'!F8-'Μεταβολές Ιδίων Κεφαλαίων'!F9-'Μεταβολές Ιδίων Κεφαλαίων'!F10-'Μεταβολές Ιδίων Κεφαλαίων'!F11-'Μεταβολές Ιδίων Κεφαλαίων'!F12-'Μεταβολές Ιδίων Κεφαλαίων'!F13-'Μεταβολές Ιδίων Κεφαλαίων'!F14,"n.a."))</x:f>
        <x:v>n.a.</x:v>
      </x:c>
      <x:c r="G27" s="75" t="str">
        <x:f>IF(COUNT('Μεταβολές Ιδίων Κεφαλαίων'!G15,'Μεταβολές Ιδίων Κεφαλαίων'!G7,'Μεταβολές Ιδίων Κεφαλαίων'!G8,'Μεταβολές Ιδίων Κεφαλαίων'!G9,'Μεταβολές Ιδίων Κεφαλαίων'!G10,'Μεταβολές Ιδίων Κεφαλαίων'!G11,'Μεταβολές Ιδίων Κεφαλαίων'!G12,'Μεταβολές Ιδίων Κεφαλαίων'!G13,'Μεταβολές Ιδίων Κεφαλαίων'!G14)&lt;9,"n.a.",IF(TRUE,'Μεταβολές Ιδίων Κεφαλαίων'!G15-'Μεταβολές Ιδίων Κεφαλαίων'!G7-'Μεταβολές Ιδίων Κεφαλαίων'!G8-'Μεταβολές Ιδίων Κεφαλαίων'!G9-'Μεταβολές Ιδίων Κεφαλαίων'!G10-'Μεταβολές Ιδίων Κεφαλαίων'!G11-'Μεταβολές Ιδίων Κεφαλαίων'!G12-'Μεταβολές Ιδίων Κεφαλαίων'!G13-'Μεταβολές Ιδίων Κεφαλαίων'!G14,"n.a."))</x:f>
        <x:v>n.a.</x:v>
      </x:c>
      <x:c r="H27" s="75" t="str">
        <x:f>IF(COUNT('Μεταβολές Ιδίων Κεφαλαίων'!H15,'Μεταβολές Ιδίων Κεφαλαίων'!H7,'Μεταβολές Ιδίων Κεφαλαίων'!H8,'Μεταβολές Ιδίων Κεφαλαίων'!H9,'Μεταβολές Ιδίων Κεφαλαίων'!H10,'Μεταβολές Ιδίων Κεφαλαίων'!H11,'Μεταβολές Ιδίων Κεφαλαίων'!H12,'Μεταβολές Ιδίων Κεφαλαίων'!H13,'Μεταβολές Ιδίων Κεφαλαίων'!H14)&lt;9,"n.a.",IF(TRUE,'Μεταβολές Ιδίων Κεφαλαίων'!H15-'Μεταβολές Ιδίων Κεφαλαίων'!H7-'Μεταβολές Ιδίων Κεφαλαίων'!H8-'Μεταβολές Ιδίων Κεφαλαίων'!H9-'Μεταβολές Ιδίων Κεφαλαίων'!H10-'Μεταβολές Ιδίων Κεφαλαίων'!H11-'Μεταβολές Ιδίων Κεφαλαίων'!H12-'Μεταβολές Ιδίων Κεφαλαίων'!H13-'Μεταβολές Ιδίων Κεφαλαίων'!H14,"n.a."))</x:f>
        <x:v>n.a.</x:v>
      </x:c>
      <x:c r="I27" s="75" t="str">
        <x:f>IF(COUNT('Μεταβολές Ιδίων Κεφαλαίων'!I15,'Μεταβολές Ιδίων Κεφαλαίων'!I7,'Μεταβολές Ιδίων Κεφαλαίων'!I8,'Μεταβολές Ιδίων Κεφαλαίων'!I9,'Μεταβολές Ιδίων Κεφαλαίων'!I10,'Μεταβολές Ιδίων Κεφαλαίων'!I11,'Μεταβολές Ιδίων Κεφαλαίων'!I12,'Μεταβολές Ιδίων Κεφαλαίων'!I13,'Μεταβολές Ιδίων Κεφαλαίων'!I14)&lt;9,"n.a.",IF(TRUE,'Μεταβολές Ιδίων Κεφαλαίων'!I15-'Μεταβολές Ιδίων Κεφαλαίων'!I7-'Μεταβολές Ιδίων Κεφαλαίων'!I8-'Μεταβολές Ιδίων Κεφαλαίων'!I9-'Μεταβολές Ιδίων Κεφαλαίων'!I10-'Μεταβολές Ιδίων Κεφαλαίων'!I11-'Μεταβολές Ιδίων Κεφαλαίων'!I12-'Μεταβολές Ιδίων Κεφαλαίων'!I13-'Μεταβολές Ιδίων Κεφαλαίων'!I14,"n.a."))</x:f>
        <x:v>n.a.</x:v>
      </x:c>
      <x:c r="J27" s="2"/>
      <x:c r="K27" s="2"/>
      <x:c r="L27" s="2"/>
      <x:c r="M27" s="2"/>
    </x:row>
    <x:row r="28" ht="23" customHeight="1">
      <x:c r="A28" s="1"/>
      <x:c r="B28" s="1"/>
      <x:c r="C28" s="2" t="str">
        <x:v>Ίδια τέλους κατάστασης μείον ισολογισμό</x:v>
      </x:c>
      <x:c r="D28" s="74"/>
      <x:c r="E28" s="76" t="str">
        <x:f>IF(COUNT('Μεταβολές Ιδίων Κεφαλαίων'!E15,'Ισολογισμός'!E52)&lt;2,"n.a.",IF(TRUE,'Μεταβολές Ιδίων Κεφαλαίων'!E15-'Ισολογισμός'!E52,"n.a."))</x:f>
        <x:v>n.a.</x:v>
      </x:c>
      <x:c r="F28" s="76" t="str">
        <x:f>IF(COUNT('Μεταβολές Ιδίων Κεφαλαίων'!F15,'Ισολογισμός'!F52)&lt;2,"n.a.",IF(TRUE,'Μεταβολές Ιδίων Κεφαλαίων'!F15-'Ισολογισμός'!F52,"n.a."))</x:f>
        <x:v>n.a.</x:v>
      </x:c>
      <x:c r="G28" s="76" t="str">
        <x:f>IF(COUNT('Μεταβολές Ιδίων Κεφαλαίων'!G15,'Ισολογισμός'!G52)&lt;2,"n.a.",IF(TRUE,'Μεταβολές Ιδίων Κεφαλαίων'!G15-'Ισολογισμός'!G52,"n.a."))</x:f>
        <x:v>n.a.</x:v>
      </x:c>
      <x:c r="H28" s="76" t="str">
        <x:f>IF(COUNT('Μεταβολές Ιδίων Κεφαλαίων'!H15,'Ισολογισμός'!H52)&lt;2,"n.a.",IF(TRUE,'Μεταβολές Ιδίων Κεφαλαίων'!H15-'Ισολογισμός'!H52,"n.a."))</x:f>
        <x:v>n.a.</x:v>
      </x:c>
      <x:c r="I28" s="76" t="str">
        <x:f>IF(COUNT('Μεταβολές Ιδίων Κεφαλαίων'!I15,'Ισολογισμός'!I52)&lt;2,"n.a.",IF(TRUE,'Μεταβολές Ιδίων Κεφαλαίων'!I15-'Ισολογισμός'!I52,"n.a."))</x:f>
        <x:v>n.a.</x:v>
      </x:c>
      <x:c r="J28" s="2"/>
      <x:c r="K28" s="2"/>
      <x:c r="L28" s="2"/>
      <x:c r="M28" s="2"/>
    </x:row>
    <x:row r="29" ht="23" customHeight="1">
      <x:c r="A29" s="1"/>
      <x:c r="B29" s="1"/>
      <x:c r="C29" s="2" t="str">
        <x:v>Κέρδη μεταβολών ιδίων μείον αποτελεσμάτων</x:v>
      </x:c>
      <x:c r="D29" s="74"/>
      <x:c r="E29" s="75" t="str">
        <x:f>IF(COUNT('Μεταβολές Ιδίων Κεφαλαίων'!E8,'Αποτελέσματα Χρήσης'!E28)&lt;2,"n.a.",IF(TRUE,'Μεταβολές Ιδίων Κεφαλαίων'!E8-'Αποτελέσματα Χρήσης'!E28,"n.a."))</x:f>
        <x:v>n.a.</x:v>
      </x:c>
      <x:c r="F29" s="75" t="str">
        <x:f>IF(COUNT('Μεταβολές Ιδίων Κεφαλαίων'!F8,'Αποτελέσματα Χρήσης'!F28)&lt;2,"n.a.",IF(TRUE,'Μεταβολές Ιδίων Κεφαλαίων'!F8-'Αποτελέσματα Χρήσης'!F28,"n.a."))</x:f>
        <x:v>n.a.</x:v>
      </x:c>
      <x:c r="G29" s="75" t="str">
        <x:f>IF(COUNT('Μεταβολές Ιδίων Κεφαλαίων'!G8,'Αποτελέσματα Χρήσης'!G28)&lt;2,"n.a.",IF(TRUE,'Μεταβολές Ιδίων Κεφαλαίων'!G8-'Αποτελέσματα Χρήσης'!G28,"n.a."))</x:f>
        <x:v>n.a.</x:v>
      </x:c>
      <x:c r="H29" s="75" t="str">
        <x:f>IF(COUNT('Μεταβολές Ιδίων Κεφαλαίων'!H8,'Αποτελέσματα Χρήσης'!H28)&lt;2,"n.a.",IF(TRUE,'Μεταβολές Ιδίων Κεφαλαίων'!H8-'Αποτελέσματα Χρήσης'!H28,"n.a."))</x:f>
        <x:v>n.a.</x:v>
      </x:c>
      <x:c r="I29" s="75" t="str">
        <x:f>IF(COUNT('Μεταβολές Ιδίων Κεφαλαίων'!I8,'Αποτελέσματα Χρήσης'!I28)&lt;2,"n.a.",IF(TRUE,'Μεταβολές Ιδίων Κεφαλαίων'!I8-'Αποτελέσματα Χρήσης'!I28,"n.a."))</x:f>
        <x:v>n.a.</x:v>
      </x:c>
      <x:c r="J29" s="2"/>
      <x:c r="K29" s="2"/>
      <x:c r="L29" s="2"/>
      <x:c r="M29" s="2"/>
    </x:row>
    <x:row r="30" ht="23" customHeight="1">
      <x:c r="A30" s="1"/>
      <x:c r="B30" s="1"/>
      <x:c r="C30" s="2" t="str">
        <x:v>Υπολογισμένα βασικά κέρδη ανά μετοχή μείον δημοσιευμένα</x:v>
      </x:c>
      <x:c r="D30" s="74"/>
      <x:c r="E30" s="76" t="str">
        <x:f>IF(COUNT('Αποτίμηση Μετοχής'!E8,'Χρηματιστηριακά Δεδομένα'!E10)&lt;2,"n.a.",IF(TRUE,'Αποτίμηση Μετοχής'!E8-'Χρηματιστηριακά Δεδομένα'!E10,"n.a."))</x:f>
        <x:v>n.a.</x:v>
      </x:c>
      <x:c r="F30" s="76" t="str">
        <x:f>IF(COUNT('Αποτίμηση Μετοχής'!F8,'Χρηματιστηριακά Δεδομένα'!F10)&lt;2,"n.a.",IF(TRUE,'Αποτίμηση Μετοχής'!F8-'Χρηματιστηριακά Δεδομένα'!F10,"n.a."))</x:f>
        <x:v>n.a.</x:v>
      </x:c>
      <x:c r="G30" s="76" t="str">
        <x:f>IF(COUNT('Αποτίμηση Μετοχής'!G8,'Χρηματιστηριακά Δεδομένα'!G10)&lt;2,"n.a.",IF(TRUE,'Αποτίμηση Μετοχής'!G8-'Χρηματιστηριακά Δεδομένα'!G10,"n.a."))</x:f>
        <x:v>n.a.</x:v>
      </x:c>
      <x:c r="H30" s="76" t="str">
        <x:f>IF(COUNT('Αποτίμηση Μετοχής'!H8,'Χρηματιστηριακά Δεδομένα'!H10)&lt;2,"n.a.",IF(TRUE,'Αποτίμηση Μετοχής'!H8-'Χρηματιστηριακά Δεδομένα'!H10,"n.a."))</x:f>
        <x:v>n.a.</x:v>
      </x:c>
      <x:c r="I30" s="76" t="str">
        <x:f>IF(COUNT('Αποτίμηση Μετοχής'!I8,'Χρηματιστηριακά Δεδομένα'!I10)&lt;2,"n.a.",IF(TRUE,'Αποτίμηση Μετοχής'!I8-'Χρηματιστηριακά Δεδομένα'!I10,"n.a."))</x:f>
        <x:v>n.a.</x:v>
      </x:c>
      <x:c r="J30" s="2"/>
      <x:c r="K30" s="2"/>
      <x:c r="L30" s="2"/>
      <x:c r="M30" s="2"/>
    </x:row>
    <x:row r="31" ht="23" customHeight="1">
      <x:c r="A31" s="1"/>
      <x:c r="B31" s="1"/>
      <x:c r="C31" s="2" t="str">
        <x:v>DuPont τριών παραγόντων μείον ROE ομίλου</x:v>
      </x:c>
      <x:c r="D31" s="74"/>
      <x:c r="E31" s="75" t="str">
        <x:f>IF(COUNT('Ανάλυση DuPont'!E11,'Κερδοφορία'!E15)&lt;2,"n.a.",IF(TRUE,'Ανάλυση DuPont'!E11-'Κερδοφορία'!E15,"n.a."))</x:f>
        <x:v>n.a.</x:v>
      </x:c>
      <x:c r="F31" s="75" t="str">
        <x:f>IF(COUNT('Ανάλυση DuPont'!F11,'Κερδοφορία'!F15)&lt;2,"n.a.",IF(TRUE,'Ανάλυση DuPont'!F11-'Κερδοφορία'!F15,"n.a."))</x:f>
        <x:v>n.a.</x:v>
      </x:c>
      <x:c r="G31" s="75" t="str">
        <x:f>IF(COUNT('Ανάλυση DuPont'!G11,'Κερδοφορία'!G15)&lt;2,"n.a.",IF(TRUE,'Ανάλυση DuPont'!G11-'Κερδοφορία'!G15,"n.a."))</x:f>
        <x:v>n.a.</x:v>
      </x:c>
      <x:c r="H31" s="75" t="str">
        <x:f>IF(COUNT('Ανάλυση DuPont'!H11,'Κερδοφορία'!H15)&lt;2,"n.a.",IF(TRUE,'Ανάλυση DuPont'!H11-'Κερδοφορία'!H15,"n.a."))</x:f>
        <x:v>n.a.</x:v>
      </x:c>
      <x:c r="I31" s="75" t="str">
        <x:f>IF(COUNT('Ανάλυση DuPont'!I11,'Κερδοφορία'!I15)&lt;2,"n.a.",IF(TRUE,'Ανάλυση DuPont'!I11-'Κερδοφορία'!I15,"n.a."))</x:f>
        <x:v>n.a.</x:v>
      </x:c>
      <x:c r="J31" s="2"/>
      <x:c r="K31" s="2"/>
      <x:c r="L31" s="2"/>
      <x:c r="M31" s="2"/>
    </x:row>
    <x:row r="32" ht="23" customHeight="1">
      <x:c r="A32" s="1"/>
      <x:c r="B32" s="1"/>
      <x:c r="C32" s="2" t="str">
        <x:v>DuPont πέντε παραγόντων μείον ROE ομίλου</x:v>
      </x:c>
      <x:c r="D32" s="74"/>
      <x:c r="E32" s="76" t="str">
        <x:f>IF(COUNT('Ανάλυση DuPont'!E16,'Κερδοφορία'!E15)&lt;2,"n.a.",IF(TRUE,'Ανάλυση DuPont'!E16-'Κερδοφορία'!E15,"n.a."))</x:f>
        <x:v>n.a.</x:v>
      </x:c>
      <x:c r="F32" s="76" t="str">
        <x:f>IF(COUNT('Ανάλυση DuPont'!F16,'Κερδοφορία'!F15)&lt;2,"n.a.",IF(TRUE,'Ανάλυση DuPont'!F16-'Κερδοφορία'!F15,"n.a."))</x:f>
        <x:v>n.a.</x:v>
      </x:c>
      <x:c r="G32" s="76" t="str">
        <x:f>IF(COUNT('Ανάλυση DuPont'!G16,'Κερδοφορία'!G15)&lt;2,"n.a.",IF(TRUE,'Ανάλυση DuPont'!G16-'Κερδοφορία'!G15,"n.a."))</x:f>
        <x:v>n.a.</x:v>
      </x:c>
      <x:c r="H32" s="76" t="str">
        <x:f>IF(COUNT('Ανάλυση DuPont'!H16,'Κερδοφορία'!H15)&lt;2,"n.a.",IF(TRUE,'Ανάλυση DuPont'!H16-'Κερδοφορία'!H15,"n.a."))</x:f>
        <x:v>n.a.</x:v>
      </x:c>
      <x:c r="I32" s="76" t="str">
        <x:f>IF(COUNT('Ανάλυση DuPont'!I16,'Κερδοφορία'!I15)&lt;2,"n.a.",IF(TRUE,'Ανάλυση DuPont'!I16-'Κερδοφορία'!I15,"n.a."))</x:f>
        <x:v>n.a.</x:v>
      </x:c>
      <x:c r="J32" s="2"/>
      <x:c r="K32" s="2"/>
      <x:c r="L32" s="2"/>
      <x:c r="M32" s="2"/>
    </x:row>
    <x:row r="33" ht="23" customHeight="1">
      <x:c r="A33" s="1"/>
      <x:c r="B33" s="1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A35" s="1"/>
      <x:c r="B35" s="1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</x:sheetData>
  <x:conditionalFormatting sqref="E7:I7">
    <x:cfRule type="expression" dxfId="0" priority="1">
      <x:formula>AND(ISNUMBER(E7),ABS(E7)&gt;'Ρυθμίσεις'!$E$14)</x:formula>
    </x:cfRule>
  </x:conditionalFormatting>
  <x:conditionalFormatting sqref="E8:I8">
    <x:cfRule type="expression" dxfId="1" priority="2">
      <x:formula>AND(ISNUMBER(E8),ABS(E8)&gt;'Ρυθμίσεις'!$E$14)</x:formula>
    </x:cfRule>
  </x:conditionalFormatting>
  <x:conditionalFormatting sqref="E9:I9">
    <x:cfRule type="expression" dxfId="2" priority="3">
      <x:formula>AND(ISNUMBER(E9),ABS(E9)&gt;'Ρυθμίσεις'!$E$14)</x:formula>
    </x:cfRule>
  </x:conditionalFormatting>
  <x:conditionalFormatting sqref="E10:I10">
    <x:cfRule type="expression" dxfId="3" priority="4">
      <x:formula>AND(ISNUMBER(E10),ABS(E10)&gt;'Ρυθμίσεις'!$E$14)</x:formula>
    </x:cfRule>
  </x:conditionalFormatting>
  <x:conditionalFormatting sqref="E11:I11">
    <x:cfRule type="expression" dxfId="4" priority="5">
      <x:formula>AND(ISNUMBER(E11),ABS(E11)&gt;'Ρυθμίσεις'!$E$14)</x:formula>
    </x:cfRule>
  </x:conditionalFormatting>
  <x:conditionalFormatting sqref="E12:I12">
    <x:cfRule type="expression" dxfId="5" priority="6">
      <x:formula>AND(ISNUMBER(E12),ABS(E12)&gt;'Ρυθμίσεις'!$E$14)</x:formula>
    </x:cfRule>
  </x:conditionalFormatting>
  <x:conditionalFormatting sqref="E13:I13">
    <x:cfRule type="expression" dxfId="6" priority="7">
      <x:formula>AND(ISNUMBER(E13),ABS(E13)&gt;'Ρυθμίσεις'!$E$14)</x:formula>
    </x:cfRule>
  </x:conditionalFormatting>
  <x:conditionalFormatting sqref="E14:I14">
    <x:cfRule type="expression" dxfId="7" priority="8">
      <x:formula>AND(ISNUMBER(E14),ABS(E14)&gt;'Ρυθμίσεις'!$E$14)</x:formula>
    </x:cfRule>
  </x:conditionalFormatting>
  <x:conditionalFormatting sqref="E15:I15">
    <x:cfRule type="expression" dxfId="8" priority="9">
      <x:formula>AND(ISNUMBER(E15),ABS(E15)&gt;'Ρυθμίσεις'!$E$14)</x:formula>
    </x:cfRule>
  </x:conditionalFormatting>
  <x:conditionalFormatting sqref="E16:I16">
    <x:cfRule type="expression" dxfId="9" priority="10">
      <x:formula>AND(ISNUMBER(E16),ABS(E16)&gt;'Ρυθμίσεις'!$E$14)</x:formula>
    </x:cfRule>
  </x:conditionalFormatting>
  <x:conditionalFormatting sqref="E17:I17">
    <x:cfRule type="expression" dxfId="10" priority="11">
      <x:formula>AND(ISNUMBER(E17),ABS(E17)&gt;'Ρυθμίσεις'!$E$14)</x:formula>
    </x:cfRule>
  </x:conditionalFormatting>
  <x:conditionalFormatting sqref="E18:I18">
    <x:cfRule type="expression" dxfId="11" priority="12">
      <x:formula>AND(ISNUMBER(E18),ABS(E18)&gt;'Ρυθμίσεις'!$E$14)</x:formula>
    </x:cfRule>
  </x:conditionalFormatting>
  <x:conditionalFormatting sqref="E19:I19">
    <x:cfRule type="expression" dxfId="12" priority="13">
      <x:formula>AND(ISNUMBER(E19),ABS(E19)&gt;'Ρυθμίσεις'!$E$14)</x:formula>
    </x:cfRule>
  </x:conditionalFormatting>
  <x:conditionalFormatting sqref="E20:I20">
    <x:cfRule type="expression" dxfId="13" priority="14">
      <x:formula>AND(ISNUMBER(E20),ABS(E20)&gt;'Ρυθμίσεις'!$E$14)</x:formula>
    </x:cfRule>
  </x:conditionalFormatting>
  <x:conditionalFormatting sqref="E21:I21">
    <x:cfRule type="expression" dxfId="14" priority="15">
      <x:formula>AND(ISNUMBER(E21),ABS(E21)&gt;'Ρυθμίσεις'!$E$14)</x:formula>
    </x:cfRule>
  </x:conditionalFormatting>
  <x:conditionalFormatting sqref="E22:I22">
    <x:cfRule type="expression" dxfId="15" priority="16">
      <x:formula>AND(ISNUMBER(E22),ABS(E22)&gt;'Ρυθμίσεις'!$E$14)</x:formula>
    </x:cfRule>
  </x:conditionalFormatting>
  <x:conditionalFormatting sqref="E23:I23">
    <x:cfRule type="expression" dxfId="16" priority="17">
      <x:formula>AND(ISNUMBER(E23),ABS(E23)&gt;'Ρυθμίσεις'!$E$14)</x:formula>
    </x:cfRule>
  </x:conditionalFormatting>
  <x:conditionalFormatting sqref="E24:I24">
    <x:cfRule type="expression" dxfId="17" priority="18">
      <x:formula>AND(ISNUMBER(E24),ABS(E24)&gt;'Ρυθμίσεις'!$E$14)</x:formula>
    </x:cfRule>
  </x:conditionalFormatting>
  <x:conditionalFormatting sqref="E25:I25">
    <x:cfRule type="expression" dxfId="18" priority="19">
      <x:formula>AND(ISNUMBER(E25),ABS(E25)&gt;'Ρυθμίσεις'!$E$14)</x:formula>
    </x:cfRule>
  </x:conditionalFormatting>
  <x:conditionalFormatting sqref="E26:I26">
    <x:cfRule type="expression" dxfId="19" priority="20">
      <x:formula>AND(ISNUMBER(E26),ABS(E26)&gt;'Ρυθμίσεις'!$E$14)</x:formula>
    </x:cfRule>
  </x:conditionalFormatting>
  <x:conditionalFormatting sqref="E27:I27">
    <x:cfRule type="expression" dxfId="20" priority="21">
      <x:formula>AND(ISNUMBER(E27),ABS(E27)&gt;'Ρυθμίσεις'!$E$14)</x:formula>
    </x:cfRule>
  </x:conditionalFormatting>
  <x:conditionalFormatting sqref="E28:I28">
    <x:cfRule type="expression" dxfId="21" priority="22">
      <x:formula>AND(ISNUMBER(E28),ABS(E28)&gt;'Ρυθμίσεις'!$E$14)</x:formula>
    </x:cfRule>
  </x:conditionalFormatting>
  <x:conditionalFormatting sqref="E29:I29">
    <x:cfRule type="expression" dxfId="22" priority="23">
      <x:formula>AND(ISNUMBER(E29),ABS(E29)&gt;'Ρυθμίσεις'!$E$14)</x:formula>
    </x:cfRule>
  </x:conditionalFormatting>
  <x:conditionalFormatting sqref="E30:I30">
    <x:cfRule type="expression" dxfId="23" priority="24">
      <x:formula>AND(ISNUMBER(E30),ABS(E30)&gt;'Ρυθμίσεις'!$E$14)</x:formula>
    </x:cfRule>
  </x:conditionalFormatting>
  <x:conditionalFormatting sqref="E31:I31">
    <x:cfRule type="expression" dxfId="24" priority="25">
      <x:formula>AND(ISNUMBER(E31),ABS(E31)&gt;'Ρυθμίσεις'!$E$14)</x:formula>
    </x:cfRule>
  </x:conditionalFormatting>
  <x:conditionalFormatting sqref="E32:I32">
    <x:cfRule type="expression" dxfId="25" priority="26">
      <x:formula>AND(ISNUMBER(E32),ABS(E32)&gt;'Ρυθμίσεις'!$E$14)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A0A9B5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6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4" hidden="0" customWidth="1"/>
    <x:col min="12" max="12" width="28" hidden="0" customWidth="1"/>
    <x:col min="13" max="13" width="28" hidden="0" customWidth="1"/>
  </x:cols>
  <x:sheetData>
    <x:row r="1" ht="23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4" t="str">
        <x:v>Οδηγός και Έλεγχος Πηγών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</x:row>
    <x:row r="3" ht="23" customHeight="1">
      <x:c r="A3" s="1"/>
      <x:c r="B3" s="1"/>
      <x:c r="C3" s="6" t="str">
        <x:v>Χρήση, ορισμοί και διορθώσεις των αρχικών αρχείων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1"/>
      <x:c r="B4" s="1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1"/>
      <x:c r="B5" s="1"/>
      <x:c r="C5" s="2" t="str">
        <x:v>Χρήση και ερμηνεία του προτύπου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2" t="str">
        <x:v>Πεδίο: επαναχρησιμοποιήσιμη εταιρική ανάλυση και χωριστές ενότητες σύγκρισης, προσωπικής επένδυσης και ETF.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2" t="str">
        <x:v>Το οικονομικό μοντέλο χρησιμοποιεί πέντε χρήσεις και μία προηγούμενη για αρχικά υπόλοιπα.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"/>
      <x:c r="B10" s="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2" t="str">
        <x:v>Οι ιστορικές εταιρικές τιμές παραμένουν στα αρχικά αρχεία. Δεν εισάγεται ανάμεικτο ιστορικό εταιρειών.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2" t="str">
        <x:v>Για κάθε έτος αντιγράψτε πρώτα τα δημοσιευμένα σύνολα. Αναλύστε συνδυασμένες γραμμές χωρίς διπλομέτρηση.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"/>
      <x:c r="B14" s="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2" t="str">
        <x:v>Απαιτήσεις και υποχρεώσεις για ταχύτητες είναι εμπορικά υπόλοιπα. Εξαιρούνται φόροι, δάνεια και μισθοδοσία.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2" t="str">
        <x:v>Οι δείκτες μέσων υπολοίπων χρησιμοποιούν (αρχή + τέλος) / 2. Χωρίς αρχή εμφανίζεται n.a.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2" t="str">
        <x:v>Το ROE χρησιμοποιεί κέρδη μετά φόρων. Εκδοχές προ φόρων και τελικών υπολοίπων ονομάζονται χωριστά.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2" t="str">
        <x:v>Το ROIC διαιρεί το NOPAT με μέσα κεφάλαια μετά διαθέσιμα και ρευστές επενδύσεις, μαζί με χρέος μισθώσεων.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2" t="str">
        <x:v>Τα βασικά κέρδη ανά μετοχή χρησιμοποιούν κέρδη κοινών μετόχων και σταθμισμένες μετοχές. Η λογιστική αξία χρησιμοποιεί τελικές.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2" t="str">
        <x:v>Χρησιμοποιήστε συνεπώς προσαρμοσμένα κέρδη, μερίσματα και τιμές. Μετατρέψτε διαφορετικό νόμισμα πριν την εισαγωγή.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2" t="str">
        <x:v>Το χρέος περιλαμβάνει βραχυπρόθεσμα και μακροπρόθεσμα δάνεια και μισθώσεις. Οι συνολικές υποχρεώσεις είναι διαφορετικό μέγεθος.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C29" t="str">
        <x:v>Ελεύθερη ροή = λειτουργικές ροές + αρνητικό CAPEX. Εξαγορές και άλλες επενδύσεις παραμένουν χωριστές.</x:v>
      </x:c>
    </x:row>
    <x:row r="31">
      <x:c r="C31" t="str">
        <x:v>Οι ροές ακολουθούν τη δημοσιευμένη ταξινόμηση. Τόκοι στις χρηματοδοτικές ροές επηρεάζουν τη συγκρισιμότητα CFO.</x:v>
      </x:c>
    </x:row>
    <x:row r="33">
      <x:c r="C33" t="str">
        <x:v>Χρησιμοποιήστε τη διαφορά διαθεσίμων μόνο για τεκμηριωμένους ορισμούς, όπως υπεραναλήψεις. Μην εξαναγκάζετε συμφωνία.</x:v>
      </x:c>
    </x:row>
    <x:row r="35">
      <x:c r="C35" t="str">
        <x:v>Η εκτίμηση τιμής εξαρτάται από επιλεγμένο πολλαπλασιαστή και ημερομηνία. Δεν υποτίθενται παραδοχές προεξόφλησης.</x:v>
      </x:c>
    </x:row>
    <x:row r="37">
      <x:c r="C37" t="str">
        <x:v>Δεν επιβάλλονται καθολικά όρια καλών ή κακών δεικτών. Συγκρίνετε κλάδο, ιστορικό και λογιστικές πολιτικές.</x:v>
      </x:c>
    </x:row>
    <x:row r="39">
      <x:c r="C39" t="str">
        <x:v>Οι γενικοί εταιρικοί δείκτες χρειάζονται προσαρμογή για τράπεζες και ασφαλιστικές. Δεν είναι εποπτικοί δείκτες.</x:v>
      </x:c>
    </x:row>
    <x:row r="41">
      <x:c r="C41" t="str">
        <x:v>Μοντέλο ETF: σταθερή ανάπτυξη τιμής, μέρισμα και έξοδα, καταβολές στο τέλος μήνα, χωρίς μοντελοποίηση φόρων.</x:v>
      </x:c>
    </x:row>
    <x:row r="43">
      <x:c r="C43" t="str">
        <x:v>Διορθώσεις που εντοπίστηκαν στα αρχεία σας</x:v>
      </x:c>
    </x:row>
    <x:row r="44" ht="48" customHeight="1">
      <x:c r="C44" t="str">
        <x:v>Economic Analysis.xlsx, Ratios.!L3:L5</x:v>
      </x:c>
      <x:c r="D44" s="94" t="str">
        <x:v>Η γενική και ειδική ρευστότητα παραπέμπουν σε μακροπρόθεσμες υποχρεώσεις (F34). Διορθώθηκαν σε βραχυπρόθεσμες.</x:v>
      </x:c>
      <x:c r="E44" s="94"/>
      <x:c r="F44" s="94"/>
      <x:c r="G44" s="94"/>
      <x:c r="H44" s="94"/>
      <x:c r="I44" s="94"/>
    </x:row>
    <x:row r="45" ht="48" customHeight="1">
      <x:c r="C45" t="str">
        <x:v>Economic Analysis.xlsx, Ratios!L9</x:v>
      </x:c>
      <x:c r="D45" s="94" t="str">
        <x:v>Το ROE παραπέμπει στο F14 του Ισολογισμού, τίτλο ενότητας. Υπολογίζεται πλέον από κέρδη και αντίστοιχα ίδια κεφάλαια.</x:v>
      </x:c>
      <x:c r="E45" s="94"/>
      <x:c r="F45" s="94"/>
      <x:c r="G45" s="94"/>
      <x:c r="H45" s="94"/>
      <x:c r="I45" s="94"/>
    </x:row>
    <x:row r="46" ht="48" customHeight="1">
      <x:c r="C46" t="str">
        <x:v>Economic Analysis.xlsx, Income Statement!N2</x:v>
      </x:c>
      <x:c r="D46" s="94" t="str">
        <x:v>Η ανάπτυξη πωλήσεων παραπέμπει στα F4 και G4 (μικτό κέρδος). Η μεταβολή πλέον ακολουθεί το σωστό μέγεθος και έτος.</x:v>
      </x:c>
      <x:c r="E46" s="94"/>
      <x:c r="F46" s="94"/>
      <x:c r="G46" s="94"/>
      <x:c r="H46" s="94"/>
      <x:c r="I46" s="94"/>
    </x:row>
    <x:row r="47" ht="48" customHeight="1">
      <x:c r="C47" t="str">
        <x:v>Economic Analysis.xlsx, Δείκτες Αποδοτικότητας!A14:J18</x:v>
      </x:c>
      <x:c r="D47" s="94" t="str">
        <x:v>Οι τίτλοι περιθωρίων δεν ευθυγραμμίζονται με τους ορισμούς. Ευθυγραμμίστηκαν στην Κερδοφορία.</x:v>
      </x:c>
      <x:c r="E47" s="94"/>
      <x:c r="F47" s="94"/>
      <x:c r="G47" s="94"/>
      <x:c r="H47" s="94"/>
      <x:c r="I47" s="94"/>
    </x:row>
    <x:row r="48" ht="48" customHeight="1">
      <x:c r="C48" t="str">
        <x:v>Economic Analysis.xlsx, Δείκτες Αποδοτικότητας!A21,A27</x:v>
      </x:c>
      <x:c r="D48" s="94" t="str">
        <x:v>Οι οδηγίες DuPont αναφέρουν πρόσθεση. Οι ταυτότητες απαιτούν πολλαπλασιασμό.</x:v>
      </x:c>
      <x:c r="E48" s="94"/>
      <x:c r="F48" s="94"/>
      <x:c r="G48" s="94"/>
      <x:c r="H48" s="94"/>
      <x:c r="I48" s="94"/>
    </x:row>
    <x:row r="49" ht="48" customHeight="1">
      <x:c r="C49" t="str">
        <x:v>F.A/renewables &amp; efuels.xlsx, Sheet1!E54,E67</x:v>
      </x:c>
      <x:c r="D49" s="94" t="str">
        <x:v>Η κεφαλαιοποίηση χρησιμοποιεί λογιστική αξία ανά μετοχή και το κυκλοφορούν συνολικό ενεργητικό. Διορθώθηκαν.</x:v>
      </x:c>
      <x:c r="E49" s="94"/>
      <x:c r="F49" s="94"/>
      <x:c r="G49" s="94"/>
      <x:c r="H49" s="94"/>
      <x:c r="I49" s="94"/>
    </x:row>
    <x:row r="50" ht="48" customHeight="1">
      <x:c r="C50" t="str">
        <x:v>F.A/ETF COMPARISON.xlsx, Sheet1!I13:J22</x:v>
      </x:c>
      <x:c r="D50" s="94" t="str">
        <x:v>Η προβολή αναμειγνύει χαρτοφυλάκια και δεν ανατοκίζει την αρχική επένδυση. Νέος μηνιαίος υπολογισμός ανά κεφάλαιο.</x:v>
      </x:c>
      <x:c r="E50" s="94"/>
      <x:c r="F50" s="94"/>
      <x:c r="G50" s="94"/>
      <x:c r="H50" s="94"/>
      <x:c r="I50" s="94"/>
    </x:row>
    <x:row r="51" ht="48" customHeight="1">
      <x:c r="C51" t="str">
        <x:v>F.A/Logistics.xlsx, Sheet1!N12,N99</x:v>
      </x:c>
      <x:c r="D51" s="94" t="str">
        <x:v>Υπάρχουν κείμενα 11.625.5 και 331\. Δεν μετατράπηκαν αυθαίρετα σε οικονομικά ποσά.</x:v>
      </x:c>
      <x:c r="E51" s="94"/>
      <x:c r="F51" s="94"/>
      <x:c r="G51" s="94"/>
      <x:c r="H51" s="94"/>
      <x:c r="I51" s="94"/>
    </x:row>
    <x:row r="52" ht="48" customHeight="1">
      <x:c r="C52" t="str">
        <x:v>F.A/Aεροναυπηγικα.xls, ΚΑΤ. ΟΙΚΟΝΟΜΙΚΗΣ ΘΕΣΗΣ!B7</x:v>
      </x:c>
      <x:c r="D52" s="94" t="str">
        <x:v>Η ελληνική ετικέτα λέει ενσώματα και η αγγλική άυλα. Τα νέα πεδία τα διαχωρίζουν.</x:v>
      </x:c>
      <x:c r="E52" s="94"/>
      <x:c r="F52" s="94"/>
      <x:c r="G52" s="94"/>
      <x:c r="H52" s="94"/>
      <x:c r="I52" s="94"/>
    </x:row>
    <x:row r="55">
      <x:c r="C55" t="str">
        <x:v>Κάλυψη αρχικών αρχείων</x:v>
      </x:c>
    </x:row>
    <x:row r="56" ht="40" customHeight="1">
      <x:c r="C56" t="str">
        <x:v>Economic Analysis.xlsx</x:v>
      </x:c>
      <x:c r="D56" s="94" t="str">
        <x:v>Τέσσερις οικονομικές καταστάσεις, δείκτες, DuPont, αποτίμηση, ιστορικό αγοράς, χρέος και δείκτες αναφοράς.</x:v>
      </x:c>
      <x:c r="E56" s="94"/>
      <x:c r="F56" s="94"/>
      <x:c r="G56" s="94"/>
      <x:c r="H56" s="94"/>
      <x:c r="I56" s="94"/>
    </x:row>
    <x:row r="57" ht="40" customHeight="1">
      <x:c r="C57" t="str">
        <x:v>F.A/Aεροναυπηγικα.xls</x:v>
      </x:c>
      <x:c r="D57" s="94" t="str">
        <x:v>Αναλυτικός ισολογισμός, κοινά μεγέθη, τάσεις και δείκτες βιβλίου.</x:v>
      </x:c>
      <x:c r="E57" s="94"/>
      <x:c r="F57" s="94"/>
      <x:c r="G57" s="94"/>
      <x:c r="H57" s="94"/>
      <x:c r="I57" s="94"/>
    </x:row>
    <x:row r="58" ht="40" customHeight="1">
      <x:c r="C58" t="str">
        <x:v>F.A/Agriculture.xlsx</x:v>
      </x:c>
      <x:c r="D58" s="94" t="str">
        <x:v>Καταστάσεις εταιρείας, κεφαλαιοποίηση, στοιχεία ανά μετοχή και πολλαπλασιαστές.</x:v>
      </x:c>
      <x:c r="E58" s="94"/>
      <x:c r="F58" s="94"/>
      <x:c r="G58" s="94"/>
      <x:c r="H58" s="94"/>
      <x:c r="I58" s="94"/>
    </x:row>
    <x:row r="59" ht="40" customHeight="1">
      <x:c r="C59" t="str">
        <x:v>F.A/Cables and energy systems.xlsx</x:v>
      </x:c>
      <x:c r="D59" s="94" t="str">
        <x:v>Συγκρίσεις εταιρειών, ταμειακές ροές, κέρδη και κεφάλαια μετόχων μητρικής.</x:v>
      </x:c>
      <x:c r="E59" s="94"/>
      <x:c r="F59" s="94"/>
      <x:c r="G59" s="94"/>
      <x:c r="H59" s="94"/>
      <x:c r="I59" s="94"/>
    </x:row>
    <x:row r="60" ht="40" customHeight="1">
      <x:c r="C60" t="str">
        <x:v>F.A/Logistics.xlsx</x:v>
      </x:c>
      <x:c r="D60" s="94" t="str">
        <x:v>Δείκτες χρέους, βασικά και απομειωμένα κέρδη ανά μετοχή, μερίσματα και DWT.</x:v>
      </x:c>
      <x:c r="E60" s="94"/>
      <x:c r="F60" s="94"/>
      <x:c r="G60" s="94"/>
      <x:c r="H60" s="94"/>
      <x:c r="I60" s="94"/>
    </x:row>
    <x:row r="61" ht="40" customHeight="1">
      <x:c r="C61" t="str">
        <x:v>F.A/Petroleum.xlsx</x:v>
      </x:c>
      <x:c r="D61" s="94" t="str">
        <x:v>Οικονομικά εταιρειών και μεγέθη παραγωγής υγρών και αερίου.</x:v>
      </x:c>
      <x:c r="E61" s="94"/>
      <x:c r="F61" s="94"/>
      <x:c r="G61" s="94"/>
      <x:c r="H61" s="94"/>
      <x:c r="I61" s="94"/>
    </x:row>
    <x:row r="62" ht="40" customHeight="1">
      <x:c r="C62" t="str">
        <x:v>F.A/renewables &amp; efuels.xlsx</x:v>
      </x:c>
      <x:c r="D62" s="94" t="str">
        <x:v>Λειτουργικά αποτελέσματα, ταμειακές ροές, κεφαλαιοποίηση και αποτίμηση.</x:v>
      </x:c>
      <x:c r="E62" s="94"/>
      <x:c r="F62" s="94"/>
      <x:c r="G62" s="94"/>
      <x:c r="H62" s="94"/>
      <x:c r="I62" s="94"/>
    </x:row>
    <x:row r="63" ht="40" customHeight="1">
      <x:c r="C63" t="str">
        <x:v>F.A/Semiconductors.xlsx</x:v>
      </x:c>
      <x:c r="D63" s="94" t="str">
        <x:v>Έρευνα και ανάπτυξη, αναλυτικός ισολογισμός, βασικά και απομειωμένα κέρδη ανά μετοχή.</x:v>
      </x:c>
      <x:c r="E63" s="94"/>
      <x:c r="F63" s="94"/>
      <x:c r="G63" s="94"/>
      <x:c r="H63" s="94"/>
      <x:c r="I63" s="94"/>
    </x:row>
    <x:row r="64" ht="40" customHeight="1">
      <x:c r="C64" t="str">
        <x:v>F.A/ETF COMPARISON.xlsx</x:v>
      </x:c>
      <x:c r="D64" s="94" t="str">
        <x:v>Μερισματική απόδοση, έξοδα, καταβολές και επανεπένδυση με νέες προβολές.</x:v>
      </x:c>
      <x:c r="E64" s="94"/>
      <x:c r="F64" s="94"/>
      <x:c r="G64" s="94"/>
      <x:c r="H64" s="94"/>
      <x:c r="I64" s="94"/>
    </x:row>
    <x:row r="65" ht="40" customHeight="1">
      <x:c r="C65" t="str">
        <x:v>Λογιστικα αποτιμησεις και παρακολουθηση.xlsx</x:v>
      </x:c>
      <x:c r="D65" s="94" t="str">
        <x:v>Εξετάστηκαν οι ποιοτικές λογιστικές σημειώσεις. Οι πολιτικές καταγράφονται στις σημειώσεις αντιστοίχισης.</x:v>
      </x:c>
      <x:c r="E65" s="94"/>
      <x:c r="F65" s="94"/>
      <x:c r="G65" s="94"/>
      <x:c r="H65" s="94"/>
      <x:c r="I65" s="94"/>
    </x:row>
    <x:row r="68">
      <x:c r="C68" t="str">
        <x:v>Πεδία ελέγχου λογιστικής πολιτικής</x:v>
      </x:c>
    </x:row>
    <x:row r="69">
      <x:c r="C69" t="str">
        <x:v>Ενσώματα πάγια: κόστος ή αναπροσαρμογή, αποσβέσεις και απομειώσεις</x:v>
      </x:c>
      <x:c r="D69" s="63"/>
      <x:c r="E69" s="63"/>
      <x:c r="F69" s="63"/>
      <x:c r="G69" s="63"/>
      <x:c r="H69" s="63"/>
      <x:c r="I69" s="63"/>
    </x:row>
    <x:row r="70">
      <x:c r="C70" t="str">
        <x:v>Επενδυτικά ακίνητα: μοντέλο επιμέτρησης της έκθεσης</x:v>
      </x:c>
      <x:c r="D70" s="63"/>
      <x:c r="E70" s="63"/>
      <x:c r="F70" s="63"/>
      <x:c r="G70" s="63"/>
      <x:c r="H70" s="63"/>
      <x:c r="I70" s="63"/>
    </x:row>
    <x:row r="71">
      <x:c r="C71" t="str">
        <x:v>Αποθέματα: μέθοδος κόστους και καθαρή ρευστοποιήσιμη αξία</x:v>
      </x:c>
      <x:c r="D71" s="63"/>
      <x:c r="E71" s="63"/>
      <x:c r="F71" s="63"/>
      <x:c r="G71" s="63"/>
      <x:c r="H71" s="63"/>
      <x:c r="I71" s="63"/>
    </x:row>
    <x:row r="72">
      <x:c r="C72" t="str">
        <x:v>Απαιτήσεις: αναμενόμενες πιστωτικές ζημιές και βάση επιμέτρησης</x:v>
      </x:c>
      <x:c r="D72" s="63"/>
      <x:c r="E72" s="63"/>
      <x:c r="F72" s="63"/>
      <x:c r="G72" s="63"/>
      <x:c r="H72" s="63"/>
      <x:c r="I72" s="63"/>
    </x:row>
    <x:row r="75">
      <x:c r="C75" t="str">
        <x:v>Εξωτερικές πηγές ορισμών, έλεγχος Σεπτέμβριος 2026</x:v>
      </x:c>
    </x:row>
    <x:row r="76">
      <x:c r="C76" t="str">
        <x:v>CFA Institute, Financial Ratio List: https://www.cfainstitute.org/sites/default/files/-/media/documents/support/programs/cfa/cfa_program_level_ii_financial_ratio_list.pdf</x:v>
      </x:c>
    </x:row>
    <x:row r="77">
      <x:c r="C77" t="str">
        <x:v>Aswath Damodaran, return on capital: https://pages.stern.nyu.edu/~adamodar/New_Home_Page/cfemail10.html</x:v>
      </x:c>
    </x:row>
    <x:row r="79">
      <x:c r="C79" t="str">
        <x:v>Δεν δόθηκαν οι συγκεκριμένες εκδόσεις των βιβλίων. Οι διαφορετικές εκδοχές ονομάζονται ρητά.</x:v>
      </x:c>
    </x:row>
  </x:sheetData>
  <x:mergeCells>
    <x:mergeCell ref="D44:I44"/>
    <x:mergeCell ref="D45:I45"/>
    <x:mergeCell ref="D46:I46"/>
    <x:mergeCell ref="D47:I47"/>
    <x:mergeCell ref="D48:I48"/>
    <x:mergeCell ref="D49:I49"/>
    <x:mergeCell ref="D50:I50"/>
    <x:mergeCell ref="D51:I51"/>
    <x:mergeCell ref="D52:I52"/>
    <x:mergeCell ref="D56:I56"/>
    <x:mergeCell ref="D57:I57"/>
    <x:mergeCell ref="D58:I58"/>
    <x:mergeCell ref="D59:I59"/>
    <x:mergeCell ref="D60:I60"/>
    <x:mergeCell ref="D61:I61"/>
    <x:mergeCell ref="D62:I62"/>
    <x:mergeCell ref="D63:I63"/>
    <x:mergeCell ref="D64:I64"/>
    <x:mergeCell ref="D65:I65"/>
  </x:mergeCells>
  <x:pageMargins left="0.7" right="0.7" top="0.75" bottom="0.75" header="0.3" footer="0.3"/>
</x:worksheet>
</file>